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ebsite\MITRA-Website-V1\public\data\"/>
    </mc:Choice>
  </mc:AlternateContent>
  <xr:revisionPtr revIDLastSave="0" documentId="13_ncr:1_{17AFBC3F-D70F-48B5-9CAC-1C55F4049B19}" xr6:coauthVersionLast="47" xr6:coauthVersionMax="47" xr10:uidLastSave="{00000000-0000-0000-0000-000000000000}"/>
  <bookViews>
    <workbookView xWindow="-108" yWindow="-108" windowWidth="23256" windowHeight="13896" activeTab="12" xr2:uid="{00000000-000D-0000-FFFF-FFFF00000000}"/>
  </bookViews>
  <sheets>
    <sheet name="2011-12" sheetId="1" r:id="rId1"/>
    <sheet name="2012-13" sheetId="3" r:id="rId2"/>
    <sheet name="2013-14" sheetId="5" r:id="rId3"/>
    <sheet name="2014-15" sheetId="7" r:id="rId4"/>
    <sheet name="2015-16" sheetId="9" r:id="rId5"/>
    <sheet name="2016-17" sheetId="11" r:id="rId6"/>
    <sheet name="2017-18" sheetId="13" r:id="rId7"/>
    <sheet name="2018-19" sheetId="15" r:id="rId8"/>
    <sheet name="2019-20" sheetId="17" r:id="rId9"/>
    <sheet name="2020-21" sheetId="19" r:id="rId10"/>
    <sheet name="2021-22" sheetId="21" r:id="rId11"/>
    <sheet name="2022-23" sheetId="23" r:id="rId12"/>
    <sheet name="2023-24" sheetId="2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42" i="1" l="1"/>
  <c r="AC42" i="3"/>
  <c r="AC42" i="5"/>
  <c r="AC42" i="7"/>
  <c r="AC42" i="9"/>
  <c r="AC42" i="11"/>
  <c r="AC42" i="13"/>
  <c r="AC42" i="15"/>
  <c r="AC42" i="17"/>
  <c r="AC42" i="19"/>
  <c r="AC42" i="21"/>
  <c r="AC42" i="23"/>
  <c r="AC42" i="24"/>
  <c r="AC41" i="1"/>
  <c r="AC41" i="3"/>
  <c r="AC41" i="5"/>
  <c r="AC41" i="7"/>
  <c r="AC41" i="9"/>
  <c r="AC41" i="11"/>
  <c r="AC41" i="13"/>
  <c r="AC41" i="15"/>
  <c r="AC41" i="17"/>
  <c r="AC41" i="19"/>
  <c r="AC41" i="21"/>
  <c r="AC41" i="23"/>
  <c r="AC41" i="24"/>
  <c r="AC34" i="1"/>
  <c r="AC34" i="3"/>
  <c r="AC34" i="5"/>
  <c r="AC34" i="7"/>
  <c r="AC34" i="9"/>
  <c r="AC34" i="11"/>
  <c r="AC34" i="13"/>
  <c r="AC34" i="15"/>
  <c r="AC34" i="17"/>
  <c r="AC34" i="19"/>
  <c r="AC34" i="21"/>
  <c r="AC34" i="23"/>
  <c r="AC34" i="24"/>
  <c r="AC28" i="1"/>
  <c r="AC28" i="3"/>
  <c r="AC28" i="5"/>
  <c r="AC28" i="7"/>
  <c r="AC28" i="9"/>
  <c r="AC28" i="11"/>
  <c r="AC28" i="13"/>
  <c r="AC28" i="15"/>
  <c r="AC28" i="17"/>
  <c r="AC28" i="19"/>
  <c r="AC28" i="21"/>
  <c r="AC28" i="23"/>
  <c r="AC28" i="24"/>
  <c r="AC19" i="1"/>
  <c r="AC19" i="3"/>
  <c r="AC19" i="5"/>
  <c r="AC19" i="7"/>
  <c r="AC19" i="9"/>
  <c r="AC19" i="11"/>
  <c r="AC19" i="13"/>
  <c r="AC19" i="15"/>
  <c r="AC19" i="17"/>
  <c r="AC19" i="19"/>
  <c r="AC19" i="21"/>
  <c r="AC19" i="23"/>
  <c r="AC19" i="24"/>
  <c r="AC13" i="1"/>
  <c r="AC13" i="3"/>
  <c r="AC13" i="5"/>
  <c r="AC13" i="7"/>
  <c r="AC13" i="9"/>
  <c r="AC13" i="11"/>
  <c r="AC13" i="13"/>
  <c r="AC13" i="15"/>
  <c r="AC13" i="17"/>
  <c r="AC13" i="19"/>
  <c r="AC13" i="21"/>
  <c r="AC13" i="23"/>
  <c r="AC13" i="24"/>
  <c r="AC7" i="1"/>
  <c r="AC7" i="3"/>
  <c r="AC7" i="5"/>
  <c r="AC7" i="7"/>
  <c r="AC7" i="9"/>
  <c r="AC7" i="11"/>
  <c r="AC7" i="13"/>
  <c r="AC7" i="15"/>
  <c r="AC7" i="17"/>
  <c r="AC7" i="19"/>
  <c r="AC7" i="21"/>
  <c r="AC7" i="23"/>
  <c r="AC7" i="24"/>
</calcChain>
</file>

<file path=xl/sharedStrings.xml><?xml version="1.0" encoding="utf-8"?>
<sst xmlns="http://schemas.openxmlformats.org/spreadsheetml/2006/main" count="911" uniqueCount="412">
  <si>
    <t>District</t>
  </si>
  <si>
    <t>Crops</t>
  </si>
  <si>
    <t>Livestock</t>
  </si>
  <si>
    <t>Manufacturing</t>
  </si>
  <si>
    <t>Construction</t>
  </si>
  <si>
    <t>Raigad</t>
  </si>
  <si>
    <t>Ratnagiri</t>
  </si>
  <si>
    <t>Sindhudurg</t>
  </si>
  <si>
    <t/>
  </si>
  <si>
    <t>Nashik</t>
  </si>
  <si>
    <t>Dhule</t>
  </si>
  <si>
    <t>Nandurbar</t>
  </si>
  <si>
    <t>Jalgaon</t>
  </si>
  <si>
    <t>Pune</t>
  </si>
  <si>
    <t>Satara</t>
  </si>
  <si>
    <t>Sangli</t>
  </si>
  <si>
    <t>Solapur</t>
  </si>
  <si>
    <t>Kolhapur</t>
  </si>
  <si>
    <t>Chhatrapati Sambhaji Nagar</t>
  </si>
  <si>
    <t>Jalna</t>
  </si>
  <si>
    <t>Parbhani</t>
  </si>
  <si>
    <t>Hingoli</t>
  </si>
  <si>
    <t>Beed</t>
  </si>
  <si>
    <t>Nanded</t>
  </si>
  <si>
    <t>Dharashiv</t>
  </si>
  <si>
    <t>Latur</t>
  </si>
  <si>
    <t>Buldhana</t>
  </si>
  <si>
    <t>Akola</t>
  </si>
  <si>
    <t>Washim</t>
  </si>
  <si>
    <t>Amravati</t>
  </si>
  <si>
    <t>Yavatmal</t>
  </si>
  <si>
    <t>Wardha</t>
  </si>
  <si>
    <t>Nagpur</t>
  </si>
  <si>
    <t>Bhandara</t>
  </si>
  <si>
    <t>Gondia</t>
  </si>
  <si>
    <t>Chandrapur</t>
  </si>
  <si>
    <t>Gadchiroli</t>
  </si>
  <si>
    <t>Railways</t>
  </si>
  <si>
    <t>Storage</t>
  </si>
  <si>
    <t>Raigad</t>
  </si>
  <si>
    <t>Ratnagiri</t>
  </si>
  <si>
    <t>Sindhudurg</t>
  </si>
  <si>
    <t>Nashik</t>
  </si>
  <si>
    <t>Dhule</t>
  </si>
  <si>
    <t>Nandurbar</t>
  </si>
  <si>
    <t>Jalgaon</t>
  </si>
  <si>
    <t>Pune</t>
  </si>
  <si>
    <t>Satara</t>
  </si>
  <si>
    <t>Sangli</t>
  </si>
  <si>
    <t>Solapur</t>
  </si>
  <si>
    <t>Kolhapur</t>
  </si>
  <si>
    <t>Chhatrapati Sambhaji Nagar</t>
  </si>
  <si>
    <t>Jalna</t>
  </si>
  <si>
    <t>Parbhani</t>
  </si>
  <si>
    <t>Hingoli</t>
  </si>
  <si>
    <t>Beed</t>
  </si>
  <si>
    <t>Nanded</t>
  </si>
  <si>
    <t>Dharashiv</t>
  </si>
  <si>
    <t>Latur</t>
  </si>
  <si>
    <t>Buldhana</t>
  </si>
  <si>
    <t>Akola</t>
  </si>
  <si>
    <t>Washim</t>
  </si>
  <si>
    <t>Amravati</t>
  </si>
  <si>
    <t>Yavatmal</t>
  </si>
  <si>
    <t>Wardha</t>
  </si>
  <si>
    <t>Nagpur</t>
  </si>
  <si>
    <t>Bhandara</t>
  </si>
  <si>
    <t>Gondia</t>
  </si>
  <si>
    <t>Chandrapur</t>
  </si>
  <si>
    <t>Gadchiroli</t>
  </si>
  <si>
    <t>Raigad</t>
  </si>
  <si>
    <t>Ratnagiri</t>
  </si>
  <si>
    <t>Sindhudurg</t>
  </si>
  <si>
    <t>Nashik</t>
  </si>
  <si>
    <t>Dhule</t>
  </si>
  <si>
    <t>Nandurbar</t>
  </si>
  <si>
    <t>Jalgaon</t>
  </si>
  <si>
    <t>Pune</t>
  </si>
  <si>
    <t>Satara</t>
  </si>
  <si>
    <t>Sangli</t>
  </si>
  <si>
    <t>Solapur</t>
  </si>
  <si>
    <t>Kolhapur</t>
  </si>
  <si>
    <t>Chhatrapati Sambhaji Nagar</t>
  </si>
  <si>
    <t>Jalna</t>
  </si>
  <si>
    <t>Parbhani</t>
  </si>
  <si>
    <t>Hingoli</t>
  </si>
  <si>
    <t>Beed</t>
  </si>
  <si>
    <t>Nanded</t>
  </si>
  <si>
    <t>Dharashiv</t>
  </si>
  <si>
    <t>Latur</t>
  </si>
  <si>
    <t>Buldhana</t>
  </si>
  <si>
    <t>Akola</t>
  </si>
  <si>
    <t>Washim</t>
  </si>
  <si>
    <t>Amravati</t>
  </si>
  <si>
    <t>Yavatmal</t>
  </si>
  <si>
    <t>Wardha</t>
  </si>
  <si>
    <t>Nagpur</t>
  </si>
  <si>
    <t>Bhandara</t>
  </si>
  <si>
    <t>Gondia</t>
  </si>
  <si>
    <t>Chandrapur</t>
  </si>
  <si>
    <t>Gadchiroli</t>
  </si>
  <si>
    <t>Raigad</t>
  </si>
  <si>
    <t>Ratnagiri</t>
  </si>
  <si>
    <t>Sindhudurg</t>
  </si>
  <si>
    <t>Nashik</t>
  </si>
  <si>
    <t>Dhule</t>
  </si>
  <si>
    <t>Nandurbar</t>
  </si>
  <si>
    <t>Jalgaon</t>
  </si>
  <si>
    <t>Pune</t>
  </si>
  <si>
    <t>Satara</t>
  </si>
  <si>
    <t>Sangli</t>
  </si>
  <si>
    <t>Solapur</t>
  </si>
  <si>
    <t>Kolhapur</t>
  </si>
  <si>
    <t>Chhatrapati Sambhaji Nagar</t>
  </si>
  <si>
    <t>Jalna</t>
  </si>
  <si>
    <t>Parbhani</t>
  </si>
  <si>
    <t>Hingoli</t>
  </si>
  <si>
    <t>Beed</t>
  </si>
  <si>
    <t>Nanded</t>
  </si>
  <si>
    <t>Dharashiv</t>
  </si>
  <si>
    <t>Latur</t>
  </si>
  <si>
    <t>Buldhana</t>
  </si>
  <si>
    <t>Akola</t>
  </si>
  <si>
    <t>Washim</t>
  </si>
  <si>
    <t>Amravati</t>
  </si>
  <si>
    <t>Yavatmal</t>
  </si>
  <si>
    <t>Wardha</t>
  </si>
  <si>
    <t>Nagpur</t>
  </si>
  <si>
    <t>Bhandara</t>
  </si>
  <si>
    <t>Gondia</t>
  </si>
  <si>
    <t>Chandrapur</t>
  </si>
  <si>
    <t>Gadchiroli</t>
  </si>
  <si>
    <t>Raigad</t>
  </si>
  <si>
    <t>Ratnagiri</t>
  </si>
  <si>
    <t>Sindhudurg</t>
  </si>
  <si>
    <t>Nashik</t>
  </si>
  <si>
    <t>Dhule</t>
  </si>
  <si>
    <t>Nandurbar</t>
  </si>
  <si>
    <t>Jalgaon</t>
  </si>
  <si>
    <t>Pune</t>
  </si>
  <si>
    <t>Satara</t>
  </si>
  <si>
    <t>Sangli</t>
  </si>
  <si>
    <t>Solapur</t>
  </si>
  <si>
    <t>Kolhapur</t>
  </si>
  <si>
    <t>Chhatrapati Sambhaji Nagar</t>
  </si>
  <si>
    <t>Jalna</t>
  </si>
  <si>
    <t>Parbhani</t>
  </si>
  <si>
    <t>Hingoli</t>
  </si>
  <si>
    <t>Beed</t>
  </si>
  <si>
    <t>Nanded</t>
  </si>
  <si>
    <t>Dharashiv</t>
  </si>
  <si>
    <t>Latur</t>
  </si>
  <si>
    <t>Buldhana</t>
  </si>
  <si>
    <t>Akola</t>
  </si>
  <si>
    <t>Washim</t>
  </si>
  <si>
    <t>Amravati</t>
  </si>
  <si>
    <t>Yavatmal</t>
  </si>
  <si>
    <t>Wardha</t>
  </si>
  <si>
    <t>Nagpur</t>
  </si>
  <si>
    <t>Bhandara</t>
  </si>
  <si>
    <t>Gondia</t>
  </si>
  <si>
    <t>Chandrapur</t>
  </si>
  <si>
    <t>Gadchiroli</t>
  </si>
  <si>
    <t>Raigad</t>
  </si>
  <si>
    <t>Ratnagiri</t>
  </si>
  <si>
    <t>Sindhudurg</t>
  </si>
  <si>
    <t>Nashik</t>
  </si>
  <si>
    <t>Dhule</t>
  </si>
  <si>
    <t>Nandurbar</t>
  </si>
  <si>
    <t>Jalgaon</t>
  </si>
  <si>
    <t>Pune</t>
  </si>
  <si>
    <t>Satara</t>
  </si>
  <si>
    <t>Sangli</t>
  </si>
  <si>
    <t>Solapur</t>
  </si>
  <si>
    <t>Kolhapur</t>
  </si>
  <si>
    <t>Chhatrapati Sambhaji Nagar</t>
  </si>
  <si>
    <t>Jalna</t>
  </si>
  <si>
    <t>Parbhani</t>
  </si>
  <si>
    <t>Hingoli</t>
  </si>
  <si>
    <t>Beed</t>
  </si>
  <si>
    <t>Nanded</t>
  </si>
  <si>
    <t>Dharashiv</t>
  </si>
  <si>
    <t>Latur</t>
  </si>
  <si>
    <t>Buldhana</t>
  </si>
  <si>
    <t>Akola</t>
  </si>
  <si>
    <t>Washim</t>
  </si>
  <si>
    <t>Amravati</t>
  </si>
  <si>
    <t>Yavatmal</t>
  </si>
  <si>
    <t>Wardha</t>
  </si>
  <si>
    <t>Nagpur</t>
  </si>
  <si>
    <t>Bhandara</t>
  </si>
  <si>
    <t>Gondia</t>
  </si>
  <si>
    <t>Chandrapur</t>
  </si>
  <si>
    <t>Gadchiroli</t>
  </si>
  <si>
    <t>Raigad</t>
  </si>
  <si>
    <t>Ratnagiri</t>
  </si>
  <si>
    <t>Sindhudurg</t>
  </si>
  <si>
    <t>Nashik</t>
  </si>
  <si>
    <t>Dhule</t>
  </si>
  <si>
    <t>Nandurbar</t>
  </si>
  <si>
    <t>Jalgaon</t>
  </si>
  <si>
    <t>Pune</t>
  </si>
  <si>
    <t>Satara</t>
  </si>
  <si>
    <t>Sangli</t>
  </si>
  <si>
    <t>Solapur</t>
  </si>
  <si>
    <t>Kolhapur</t>
  </si>
  <si>
    <t>Chhatrapati Sambhaji Nagar</t>
  </si>
  <si>
    <t>Jalna</t>
  </si>
  <si>
    <t>Parbhani</t>
  </si>
  <si>
    <t>Hingoli</t>
  </si>
  <si>
    <t>Beed</t>
  </si>
  <si>
    <t>Nanded</t>
  </si>
  <si>
    <t>Dharashiv</t>
  </si>
  <si>
    <t>Latur</t>
  </si>
  <si>
    <t>Buldhana</t>
  </si>
  <si>
    <t>Akola</t>
  </si>
  <si>
    <t>Washim</t>
  </si>
  <si>
    <t>Amravati</t>
  </si>
  <si>
    <t>Yavatmal</t>
  </si>
  <si>
    <t>Wardha</t>
  </si>
  <si>
    <t>Nagpur</t>
  </si>
  <si>
    <t>Bhandara</t>
  </si>
  <si>
    <t>Gondia</t>
  </si>
  <si>
    <t>Chandrapur</t>
  </si>
  <si>
    <t>Gadchiroli</t>
  </si>
  <si>
    <t>Raigad</t>
  </si>
  <si>
    <t>Ratnagiri</t>
  </si>
  <si>
    <t>Sindhudurg</t>
  </si>
  <si>
    <t>Nashik</t>
  </si>
  <si>
    <t>Dhule</t>
  </si>
  <si>
    <t>Nandurbar</t>
  </si>
  <si>
    <t>Jalgaon</t>
  </si>
  <si>
    <t>Pune</t>
  </si>
  <si>
    <t>Satara</t>
  </si>
  <si>
    <t>Sangli</t>
  </si>
  <si>
    <t>Solapur</t>
  </si>
  <si>
    <t>Kolhapur</t>
  </si>
  <si>
    <t>Chhatrapati Sambhaji Nagar</t>
  </si>
  <si>
    <t>Jalna</t>
  </si>
  <si>
    <t>Parbhani</t>
  </si>
  <si>
    <t>Hingoli</t>
  </si>
  <si>
    <t>Beed</t>
  </si>
  <si>
    <t>Nanded</t>
  </si>
  <si>
    <t>Dharashiv</t>
  </si>
  <si>
    <t>Latur</t>
  </si>
  <si>
    <t>Buldhana</t>
  </si>
  <si>
    <t>Akola</t>
  </si>
  <si>
    <t>Washim</t>
  </si>
  <si>
    <t>Amravati</t>
  </si>
  <si>
    <t>Yavatmal</t>
  </si>
  <si>
    <t>Wardha</t>
  </si>
  <si>
    <t>Nagpur</t>
  </si>
  <si>
    <t>Bhandara</t>
  </si>
  <si>
    <t>Gondia</t>
  </si>
  <si>
    <t>Chandrapur</t>
  </si>
  <si>
    <t>Gadchiroli</t>
  </si>
  <si>
    <t>Raigad</t>
  </si>
  <si>
    <t>Ratnagiri</t>
  </si>
  <si>
    <t>Sindhudurg</t>
  </si>
  <si>
    <t>Nashik</t>
  </si>
  <si>
    <t>Dhule</t>
  </si>
  <si>
    <t>Nandurbar</t>
  </si>
  <si>
    <t>Jalgaon</t>
  </si>
  <si>
    <t>Pune</t>
  </si>
  <si>
    <t>Satara</t>
  </si>
  <si>
    <t>Sangli</t>
  </si>
  <si>
    <t>Solapur</t>
  </si>
  <si>
    <t>Kolhapur</t>
  </si>
  <si>
    <t>Chhatrapati Sambhaji Nagar</t>
  </si>
  <si>
    <t>Jalna</t>
  </si>
  <si>
    <t>Parbhani</t>
  </si>
  <si>
    <t>Hingoli</t>
  </si>
  <si>
    <t>Beed</t>
  </si>
  <si>
    <t>Nanded</t>
  </si>
  <si>
    <t>Dharashiv</t>
  </si>
  <si>
    <t>Latur</t>
  </si>
  <si>
    <t>Buldhana</t>
  </si>
  <si>
    <t>Akola</t>
  </si>
  <si>
    <t>Washim</t>
  </si>
  <si>
    <t>Amravati</t>
  </si>
  <si>
    <t>Yavatmal</t>
  </si>
  <si>
    <t>Wardha</t>
  </si>
  <si>
    <t>Nagpur</t>
  </si>
  <si>
    <t>Bhandara</t>
  </si>
  <si>
    <t>Gondia</t>
  </si>
  <si>
    <t>Chandrapur</t>
  </si>
  <si>
    <t>Gadchiroli</t>
  </si>
  <si>
    <t>Raigad</t>
  </si>
  <si>
    <t>Ratnagiri</t>
  </si>
  <si>
    <t>Sindhudurg</t>
  </si>
  <si>
    <t>Nashik</t>
  </si>
  <si>
    <t>Dhule</t>
  </si>
  <si>
    <t>Nandurbar</t>
  </si>
  <si>
    <t>Jalgaon</t>
  </si>
  <si>
    <t>Pune</t>
  </si>
  <si>
    <t>Satara</t>
  </si>
  <si>
    <t>Sangli</t>
  </si>
  <si>
    <t>Solapur</t>
  </si>
  <si>
    <t>Kolhapur</t>
  </si>
  <si>
    <t>Chhatrapati Sambhaji Nagar</t>
  </si>
  <si>
    <t>Jalna</t>
  </si>
  <si>
    <t>Parbhani</t>
  </si>
  <si>
    <t>Hingoli</t>
  </si>
  <si>
    <t>Beed</t>
  </si>
  <si>
    <t>Nanded</t>
  </si>
  <si>
    <t>Dharashiv</t>
  </si>
  <si>
    <t>Latur</t>
  </si>
  <si>
    <t>Buldhana</t>
  </si>
  <si>
    <t>Akola</t>
  </si>
  <si>
    <t>Washim</t>
  </si>
  <si>
    <t>Amravati</t>
  </si>
  <si>
    <t>Yavatmal</t>
  </si>
  <si>
    <t>Wardha</t>
  </si>
  <si>
    <t>Nagpur</t>
  </si>
  <si>
    <t>Bhandara</t>
  </si>
  <si>
    <t>Gondia</t>
  </si>
  <si>
    <t>Chandrapur</t>
  </si>
  <si>
    <t>Gadchiroli</t>
  </si>
  <si>
    <t>Raigad</t>
  </si>
  <si>
    <t>Ratnagiri</t>
  </si>
  <si>
    <t>Sindhudurg</t>
  </si>
  <si>
    <t>Nashik</t>
  </si>
  <si>
    <t>Dhule</t>
  </si>
  <si>
    <t>Nandurbar</t>
  </si>
  <si>
    <t>Jalgaon</t>
  </si>
  <si>
    <t>Pune</t>
  </si>
  <si>
    <t>Satara</t>
  </si>
  <si>
    <t>Sangli</t>
  </si>
  <si>
    <t>Solapur</t>
  </si>
  <si>
    <t>Kolhapur</t>
  </si>
  <si>
    <t>Chhatrapati Sambhaji Nagar</t>
  </si>
  <si>
    <t>Jalna</t>
  </si>
  <si>
    <t>Parbhani</t>
  </si>
  <si>
    <t>Hingoli</t>
  </si>
  <si>
    <t>Beed</t>
  </si>
  <si>
    <t>Nanded</t>
  </si>
  <si>
    <t>Dharashiv</t>
  </si>
  <si>
    <t>Latur</t>
  </si>
  <si>
    <t>Buldhana</t>
  </si>
  <si>
    <t>Akola</t>
  </si>
  <si>
    <t>Washim</t>
  </si>
  <si>
    <t>Amravati</t>
  </si>
  <si>
    <t>Yavatmal</t>
  </si>
  <si>
    <t>Wardha</t>
  </si>
  <si>
    <t>Nagpur</t>
  </si>
  <si>
    <t>Bhandara</t>
  </si>
  <si>
    <t>Gondia</t>
  </si>
  <si>
    <t>Chandrapur</t>
  </si>
  <si>
    <t>Gadchiroli</t>
  </si>
  <si>
    <t>Raigad</t>
  </si>
  <si>
    <t>Ratnagiri</t>
  </si>
  <si>
    <t>Sindhudurg</t>
  </si>
  <si>
    <t>Nashik</t>
  </si>
  <si>
    <t>Dhule</t>
  </si>
  <si>
    <t>Nandurbar</t>
  </si>
  <si>
    <t>Jalgaon</t>
  </si>
  <si>
    <t>Pune</t>
  </si>
  <si>
    <t>Satara</t>
  </si>
  <si>
    <t>Sangli</t>
  </si>
  <si>
    <t>Solapur</t>
  </si>
  <si>
    <t>Kolhapur</t>
  </si>
  <si>
    <t>Chhatrapati Sambhaji Nagar</t>
  </si>
  <si>
    <t>Jalna</t>
  </si>
  <si>
    <t>Parbhani</t>
  </si>
  <si>
    <t>Hingoli</t>
  </si>
  <si>
    <t>Beed</t>
  </si>
  <si>
    <t>Nanded</t>
  </si>
  <si>
    <t>Dharashiv</t>
  </si>
  <si>
    <t>Latur</t>
  </si>
  <si>
    <t>Buldhana</t>
  </si>
  <si>
    <t>Akola</t>
  </si>
  <si>
    <t>Washim</t>
  </si>
  <si>
    <t>Amravati</t>
  </si>
  <si>
    <t>Yavatmal</t>
  </si>
  <si>
    <t>Wardha</t>
  </si>
  <si>
    <t>Nagpur</t>
  </si>
  <si>
    <t>Bhandara</t>
  </si>
  <si>
    <t>Gondia</t>
  </si>
  <si>
    <t>Chandrapur</t>
  </si>
  <si>
    <t>Gadchiroli</t>
  </si>
  <si>
    <t>Ahilyanagar</t>
  </si>
  <si>
    <t>Thane and Palghar</t>
  </si>
  <si>
    <t>Forestry and Logging</t>
  </si>
  <si>
    <t>Fishing and aquaculture</t>
  </si>
  <si>
    <t>Agriculture &amp; Allied Activities</t>
  </si>
  <si>
    <t>Minign &amp; Quarrying</t>
  </si>
  <si>
    <t>Primary Sector</t>
  </si>
  <si>
    <t>Electricity, Gas, Water Supply &amp; Other Utility Services</t>
  </si>
  <si>
    <t>Secondary Sector</t>
  </si>
  <si>
    <t>Industry</t>
  </si>
  <si>
    <t>Comm. And services related to Broad.</t>
  </si>
  <si>
    <t>Financial Services</t>
  </si>
  <si>
    <t>R. Estate, O. Dwellings &amp; Professional Services</t>
  </si>
  <si>
    <t>Public Administration &amp; Defence</t>
  </si>
  <si>
    <t>Other Services</t>
  </si>
  <si>
    <t>Services/ Tertiary Sector</t>
  </si>
  <si>
    <t>GDVA</t>
  </si>
  <si>
    <t>Taxes on products</t>
  </si>
  <si>
    <t>Less subsidies on products</t>
  </si>
  <si>
    <t>GDDP</t>
  </si>
  <si>
    <t>Population ('000)</t>
  </si>
  <si>
    <t>Per capita District Domestic Product (₹)</t>
  </si>
  <si>
    <t>Nagpur Division</t>
  </si>
  <si>
    <t>Chhatrapati Sambhaji Nagar Division</t>
  </si>
  <si>
    <t>Pune Division</t>
  </si>
  <si>
    <t>Konkan Division</t>
  </si>
  <si>
    <t>Maharashtra</t>
  </si>
  <si>
    <t>Amravati Division</t>
  </si>
  <si>
    <t>Nashik Division</t>
  </si>
  <si>
    <t>Mumbai City and Suburban</t>
  </si>
  <si>
    <t>Trade, Repair, Hotels &amp; Restaurants</t>
  </si>
  <si>
    <t>Transport by means other than Railways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</si>
</sst>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family val="2"/>
    </font>
    <font>
      <sz val="9"/>
      <name val="Calibri"/>
      <family val="2"/>
    </font>
    <font>
      <sz val="7.5"/>
      <name val="Times New Roman"/>
      <family val="1"/>
    </font>
    <font>
      <sz val="7.5"/>
      <color theme="1"/>
      <name val="Times New Roman"/>
      <family val="1"/>
    </font>
    <font>
      <b/>
      <sz val="7.5"/>
      <name val="Times New Roman"/>
      <family val="1"/>
    </font>
    <font>
      <b/>
      <sz val="11"/>
      <name val="Calibri"/>
      <family val="2"/>
    </font>
    <font>
      <b/>
      <sz val="9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/>
    <xf numFmtId="1" fontId="3" fillId="2" borderId="1" xfId="0" applyNumberFormat="1" applyFont="1" applyFill="1" applyBorder="1" applyAlignment="1"/>
    <xf numFmtId="0" fontId="4" fillId="3" borderId="1" xfId="0" applyFont="1" applyFill="1" applyBorder="1" applyAlignment="1">
      <alignment horizontal="left"/>
    </xf>
    <xf numFmtId="1" fontId="4" fillId="3" borderId="1" xfId="0" applyNumberFormat="1" applyFont="1" applyFill="1" applyBorder="1" applyAlignment="1"/>
    <xf numFmtId="0" fontId="2" fillId="4" borderId="1" xfId="0" applyFont="1" applyFill="1" applyBorder="1" applyAlignment="1">
      <alignment horizontal="left"/>
    </xf>
    <xf numFmtId="1" fontId="2" fillId="4" borderId="1" xfId="0" applyNumberFormat="1" applyFont="1" applyFill="1" applyBorder="1" applyAlignment="1"/>
    <xf numFmtId="1" fontId="3" fillId="4" borderId="1" xfId="0" applyNumberFormat="1" applyFont="1" applyFill="1" applyBorder="1" applyAlignment="1"/>
    <xf numFmtId="0" fontId="4" fillId="5" borderId="1" xfId="0" applyFont="1" applyFill="1" applyBorder="1" applyAlignment="1">
      <alignment horizontal="left"/>
    </xf>
    <xf numFmtId="1" fontId="4" fillId="5" borderId="1" xfId="0" applyNumberFormat="1" applyFont="1" applyFill="1" applyBorder="1" applyAlignment="1"/>
    <xf numFmtId="0" fontId="4" fillId="6" borderId="1" xfId="0" applyFont="1" applyFill="1" applyBorder="1" applyAlignment="1">
      <alignment horizontal="left"/>
    </xf>
    <xf numFmtId="1" fontId="4" fillId="6" borderId="1" xfId="0" applyNumberFormat="1" applyFont="1" applyFill="1" applyBorder="1" applyAlignment="1"/>
    <xf numFmtId="0" fontId="4" fillId="7" borderId="1" xfId="0" applyFont="1" applyFill="1" applyBorder="1" applyAlignment="1">
      <alignment horizontal="left"/>
    </xf>
    <xf numFmtId="1" fontId="4" fillId="7" borderId="1" xfId="0" applyNumberFormat="1" applyFont="1" applyFill="1" applyBorder="1" applyAlignment="1"/>
    <xf numFmtId="0" fontId="4" fillId="8" borderId="1" xfId="0" applyFont="1" applyFill="1" applyBorder="1" applyAlignment="1">
      <alignment horizontal="left"/>
    </xf>
    <xf numFmtId="1" fontId="4" fillId="8" borderId="1" xfId="0" applyNumberFormat="1" applyFont="1" applyFill="1" applyBorder="1" applyAlignment="1"/>
    <xf numFmtId="0" fontId="2" fillId="9" borderId="1" xfId="0" applyFont="1" applyFill="1" applyBorder="1" applyAlignment="1">
      <alignment horizontal="left"/>
    </xf>
    <xf numFmtId="1" fontId="2" fillId="9" borderId="1" xfId="0" applyNumberFormat="1" applyFont="1" applyFill="1" applyBorder="1" applyAlignment="1"/>
    <xf numFmtId="1" fontId="3" fillId="9" borderId="1" xfId="0" applyNumberFormat="1" applyFont="1" applyFill="1" applyBorder="1" applyAlignment="1"/>
    <xf numFmtId="0" fontId="4" fillId="10" borderId="1" xfId="0" applyFont="1" applyFill="1" applyBorder="1" applyAlignment="1">
      <alignment horizontal="left"/>
    </xf>
    <xf numFmtId="1" fontId="4" fillId="10" borderId="1" xfId="0" applyNumberFormat="1" applyFont="1" applyFill="1" applyBorder="1" applyAlignment="1"/>
    <xf numFmtId="0" fontId="4" fillId="11" borderId="1" xfId="0" applyFont="1" applyFill="1" applyBorder="1" applyAlignment="1">
      <alignment horizontal="left"/>
    </xf>
    <xf numFmtId="1" fontId="4" fillId="11" borderId="1" xfId="0" applyNumberFormat="1" applyFont="1" applyFill="1" applyBorder="1" applyAlignment="1"/>
    <xf numFmtId="0" fontId="2" fillId="12" borderId="1" xfId="0" applyFont="1" applyFill="1" applyBorder="1" applyAlignment="1">
      <alignment horizontal="left"/>
    </xf>
    <xf numFmtId="1" fontId="2" fillId="12" borderId="1" xfId="0" applyNumberFormat="1" applyFont="1" applyFill="1" applyBorder="1" applyAlignment="1"/>
    <xf numFmtId="1" fontId="3" fillId="12" borderId="1" xfId="0" applyNumberFormat="1" applyFont="1" applyFill="1" applyBorder="1" applyAlignment="1"/>
    <xf numFmtId="1" fontId="4" fillId="12" borderId="1" xfId="0" applyNumberFormat="1" applyFont="1" applyFill="1" applyBorder="1" applyAlignment="1"/>
    <xf numFmtId="0" fontId="2" fillId="13" borderId="1" xfId="0" applyFont="1" applyFill="1" applyBorder="1" applyAlignment="1">
      <alignment horizontal="left"/>
    </xf>
    <xf numFmtId="1" fontId="2" fillId="13" borderId="1" xfId="0" applyNumberFormat="1" applyFont="1" applyFill="1" applyBorder="1" applyAlignment="1"/>
    <xf numFmtId="1" fontId="3" fillId="13" borderId="1" xfId="0" applyNumberFormat="1" applyFont="1" applyFill="1" applyBorder="1" applyAlignment="1"/>
    <xf numFmtId="0" fontId="2" fillId="14" borderId="1" xfId="0" applyFont="1" applyFill="1" applyBorder="1" applyAlignment="1">
      <alignment horizontal="left"/>
    </xf>
    <xf numFmtId="1" fontId="2" fillId="14" borderId="1" xfId="0" applyNumberFormat="1" applyFont="1" applyFill="1" applyBorder="1" applyAlignment="1"/>
    <xf numFmtId="1" fontId="3" fillId="14" borderId="1" xfId="0" applyNumberFormat="1" applyFont="1" applyFill="1" applyBorder="1" applyAlignment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3B5C5D-9C25-4E9E-AB74-EF1714C3ED6B}">
  <we:reference id="wa104380263" version="3.0.0.0" store="en-US" storeType="OMEX"/>
  <we:alternateReferences>
    <we:reference id="WA104380263" version="3.0.0.0" store="WA104380263" storeType="OMEX"/>
  </we:alternateReferences>
  <we:properties/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2"/>
  <sheetViews>
    <sheetView tabSelected="1" topLeftCell="A16" zoomScale="122" workbookViewId="0">
      <pane xSplit="1" topLeftCell="W1" activePane="topRight" state="frozen"/>
      <selection activeCell="J12" sqref="J12"/>
      <selection pane="topRight" activeCell="J12" sqref="J12"/>
    </sheetView>
  </sheetViews>
  <sheetFormatPr defaultRowHeight="14.4" x14ac:dyDescent="0.3"/>
  <cols>
    <col min="1" max="1" width="22.33203125" bestFit="1" customWidth="1"/>
    <col min="2" max="2" width="7.21875" bestFit="1" customWidth="1"/>
    <col min="3" max="3" width="7.88671875" customWidth="1"/>
    <col min="4" max="4" width="13.88671875" bestFit="1" customWidth="1"/>
    <col min="5" max="5" width="15.33203125" bestFit="1" customWidth="1"/>
    <col min="6" max="6" width="19.33203125" bestFit="1" customWidth="1"/>
    <col min="7" max="7" width="13.109375" bestFit="1" customWidth="1"/>
    <col min="8" max="8" width="9.44140625" bestFit="1" customWidth="1"/>
    <col min="9" max="9" width="9.77734375" bestFit="1" customWidth="1"/>
    <col min="10" max="10" width="33.6640625" bestFit="1" customWidth="1"/>
    <col min="11" max="11" width="8.6640625" bestFit="1" customWidth="1"/>
    <col min="12" max="12" width="11.33203125" bestFit="1" customWidth="1"/>
    <col min="13" max="13" width="7" bestFit="1" customWidth="1"/>
    <col min="14" max="14" width="22.88671875" bestFit="1" customWidth="1"/>
    <col min="15" max="15" width="6.21875" bestFit="1" customWidth="1"/>
    <col min="16" max="16" width="25.6640625" bestFit="1" customWidth="1"/>
    <col min="17" max="17" width="5.44140625" bestFit="1" customWidth="1"/>
    <col min="18" max="18" width="23.5546875" bestFit="1" customWidth="1"/>
    <col min="19" max="19" width="11.5546875" bestFit="1" customWidth="1"/>
    <col min="20" max="20" width="29.21875" bestFit="1" customWidth="1"/>
    <col min="21" max="21" width="20.6640625" bestFit="1" customWidth="1"/>
    <col min="22" max="22" width="9.5546875" bestFit="1" customWidth="1"/>
    <col min="23" max="23" width="15.5546875" bestFit="1" customWidth="1"/>
    <col min="24" max="24" width="8" bestFit="1" customWidth="1"/>
    <col min="25" max="25" width="11.88671875" bestFit="1" customWidth="1"/>
    <col min="26" max="26" width="17.44140625" bestFit="1" customWidth="1"/>
    <col min="27" max="27" width="8" bestFit="1" customWidth="1"/>
    <col min="28" max="28" width="10.77734375" bestFit="1" customWidth="1"/>
    <col min="29" max="29" width="23.5546875" bestFit="1" customWidth="1"/>
  </cols>
  <sheetData>
    <row r="1" spans="1:29" x14ac:dyDescent="0.3">
      <c r="A1" s="37" t="s">
        <v>0</v>
      </c>
      <c r="B1" s="37" t="s">
        <v>1</v>
      </c>
      <c r="C1" s="37" t="s">
        <v>2</v>
      </c>
      <c r="D1" s="37" t="s">
        <v>382</v>
      </c>
      <c r="E1" s="37" t="s">
        <v>383</v>
      </c>
      <c r="F1" s="37" t="s">
        <v>384</v>
      </c>
      <c r="G1" s="37" t="s">
        <v>385</v>
      </c>
      <c r="H1" s="37" t="s">
        <v>386</v>
      </c>
      <c r="I1" s="37" t="s">
        <v>3</v>
      </c>
      <c r="J1" s="37" t="s">
        <v>387</v>
      </c>
      <c r="K1" s="37" t="s">
        <v>4</v>
      </c>
      <c r="L1" s="37" t="s">
        <v>388</v>
      </c>
      <c r="M1" s="37" t="s">
        <v>389</v>
      </c>
      <c r="N1" s="37" t="s">
        <v>410</v>
      </c>
      <c r="O1" s="38" t="s">
        <v>37</v>
      </c>
      <c r="P1" s="39" t="s">
        <v>411</v>
      </c>
      <c r="Q1" s="37" t="s">
        <v>38</v>
      </c>
      <c r="R1" s="37" t="s">
        <v>390</v>
      </c>
      <c r="S1" s="37" t="s">
        <v>391</v>
      </c>
      <c r="T1" s="37" t="s">
        <v>392</v>
      </c>
      <c r="U1" s="38" t="s">
        <v>393</v>
      </c>
      <c r="V1" s="37" t="s">
        <v>394</v>
      </c>
      <c r="W1" s="37" t="s">
        <v>395</v>
      </c>
      <c r="X1" s="37" t="s">
        <v>396</v>
      </c>
      <c r="Y1" s="39" t="s">
        <v>397</v>
      </c>
      <c r="Z1" s="37" t="s">
        <v>398</v>
      </c>
      <c r="AA1" s="37" t="s">
        <v>399</v>
      </c>
      <c r="AB1" s="37" t="s">
        <v>400</v>
      </c>
      <c r="AC1" s="37" t="s">
        <v>401</v>
      </c>
    </row>
    <row r="2" spans="1:29" x14ac:dyDescent="0.3">
      <c r="A2" s="4" t="s">
        <v>409</v>
      </c>
      <c r="B2" s="5">
        <v>1</v>
      </c>
      <c r="C2" s="5">
        <v>389</v>
      </c>
      <c r="D2" s="5">
        <v>89</v>
      </c>
      <c r="E2" s="5">
        <v>756</v>
      </c>
      <c r="F2" s="5">
        <v>1236</v>
      </c>
      <c r="G2" s="5">
        <v>33070</v>
      </c>
      <c r="H2" s="5">
        <v>34306</v>
      </c>
      <c r="I2" s="5">
        <v>48967</v>
      </c>
      <c r="J2" s="5">
        <v>5335</v>
      </c>
      <c r="K2" s="5">
        <v>16032</v>
      </c>
      <c r="L2" s="5">
        <v>70334</v>
      </c>
      <c r="M2" s="5">
        <v>103405</v>
      </c>
      <c r="N2" s="5">
        <v>21019</v>
      </c>
      <c r="O2" s="5">
        <v>1192</v>
      </c>
      <c r="P2" s="5">
        <v>8299</v>
      </c>
      <c r="Q2" s="5">
        <v>184</v>
      </c>
      <c r="R2" s="5">
        <v>3163</v>
      </c>
      <c r="S2" s="5">
        <v>23453</v>
      </c>
      <c r="T2" s="5">
        <v>37988</v>
      </c>
      <c r="U2" s="5">
        <v>7776</v>
      </c>
      <c r="V2" s="5">
        <v>13260</v>
      </c>
      <c r="W2" s="5">
        <v>116334</v>
      </c>
      <c r="X2" s="5">
        <v>220975</v>
      </c>
      <c r="Y2" s="5">
        <v>31297</v>
      </c>
      <c r="Z2" s="5">
        <v>5046</v>
      </c>
      <c r="AA2" s="5">
        <v>247225</v>
      </c>
      <c r="AB2" s="5">
        <v>12570</v>
      </c>
      <c r="AC2" s="5">
        <v>196681</v>
      </c>
    </row>
    <row r="3" spans="1:29" x14ac:dyDescent="0.3">
      <c r="A3" s="4" t="s">
        <v>381</v>
      </c>
      <c r="B3" s="5">
        <v>2842</v>
      </c>
      <c r="C3" s="5">
        <v>592</v>
      </c>
      <c r="D3" s="5">
        <v>1142</v>
      </c>
      <c r="E3" s="5">
        <v>557</v>
      </c>
      <c r="F3" s="5">
        <v>5133</v>
      </c>
      <c r="G3" s="5">
        <v>2770</v>
      </c>
      <c r="H3" s="5">
        <v>7903</v>
      </c>
      <c r="I3" s="5">
        <v>40885</v>
      </c>
      <c r="J3" s="5">
        <v>4454</v>
      </c>
      <c r="K3" s="5">
        <v>13386</v>
      </c>
      <c r="L3" s="5">
        <v>58726</v>
      </c>
      <c r="M3" s="5">
        <v>61495</v>
      </c>
      <c r="N3" s="5">
        <v>17550</v>
      </c>
      <c r="O3" s="5">
        <v>995</v>
      </c>
      <c r="P3" s="5">
        <v>6929</v>
      </c>
      <c r="Q3" s="5">
        <v>154</v>
      </c>
      <c r="R3" s="5">
        <v>2641</v>
      </c>
      <c r="S3" s="5">
        <v>19582</v>
      </c>
      <c r="T3" s="5">
        <v>31718</v>
      </c>
      <c r="U3" s="5">
        <v>6493</v>
      </c>
      <c r="V3" s="5">
        <v>11072</v>
      </c>
      <c r="W3" s="5">
        <v>97133</v>
      </c>
      <c r="X3" s="5">
        <v>163761</v>
      </c>
      <c r="Y3" s="5">
        <v>23194</v>
      </c>
      <c r="Z3" s="5">
        <v>3740</v>
      </c>
      <c r="AA3" s="5">
        <v>183215</v>
      </c>
      <c r="AB3" s="5">
        <v>11156</v>
      </c>
      <c r="AC3" s="5">
        <v>164223</v>
      </c>
    </row>
    <row r="4" spans="1:29" x14ac:dyDescent="0.3">
      <c r="A4" s="4" t="s">
        <v>5</v>
      </c>
      <c r="B4" s="5">
        <v>1243</v>
      </c>
      <c r="C4" s="5">
        <v>204</v>
      </c>
      <c r="D4" s="5">
        <v>904</v>
      </c>
      <c r="E4" s="5">
        <v>153</v>
      </c>
      <c r="F4" s="5">
        <v>2505</v>
      </c>
      <c r="G4" s="5">
        <v>8070</v>
      </c>
      <c r="H4" s="5">
        <v>10575</v>
      </c>
      <c r="I4" s="5">
        <v>4984</v>
      </c>
      <c r="J4" s="5">
        <v>543</v>
      </c>
      <c r="K4" s="5">
        <v>1632</v>
      </c>
      <c r="L4" s="5">
        <v>7159</v>
      </c>
      <c r="M4" s="5">
        <v>15229</v>
      </c>
      <c r="N4" s="5">
        <v>2140</v>
      </c>
      <c r="O4" s="5">
        <v>121</v>
      </c>
      <c r="P4" s="5">
        <v>845</v>
      </c>
      <c r="Q4" s="5">
        <v>19</v>
      </c>
      <c r="R4" s="5">
        <v>322</v>
      </c>
      <c r="S4" s="5">
        <v>2387</v>
      </c>
      <c r="T4" s="5">
        <v>3867</v>
      </c>
      <c r="U4" s="5">
        <v>792</v>
      </c>
      <c r="V4" s="5">
        <v>1350</v>
      </c>
      <c r="W4" s="5">
        <v>11842</v>
      </c>
      <c r="X4" s="5">
        <v>29576</v>
      </c>
      <c r="Y4" s="5">
        <v>4189</v>
      </c>
      <c r="Z4" s="5">
        <v>675</v>
      </c>
      <c r="AA4" s="5">
        <v>33089</v>
      </c>
      <c r="AB4" s="5">
        <v>2650</v>
      </c>
      <c r="AC4" s="5">
        <v>124861</v>
      </c>
    </row>
    <row r="5" spans="1:29" x14ac:dyDescent="0.3">
      <c r="A5" s="4" t="s">
        <v>6</v>
      </c>
      <c r="B5" s="5">
        <v>2418</v>
      </c>
      <c r="C5" s="5">
        <v>221</v>
      </c>
      <c r="D5" s="5">
        <v>371</v>
      </c>
      <c r="E5" s="5">
        <v>266</v>
      </c>
      <c r="F5" s="5">
        <v>3277</v>
      </c>
      <c r="G5" s="5">
        <v>111</v>
      </c>
      <c r="H5" s="5">
        <v>3388</v>
      </c>
      <c r="I5" s="5">
        <v>2742</v>
      </c>
      <c r="J5" s="5">
        <v>299</v>
      </c>
      <c r="K5" s="5">
        <v>898</v>
      </c>
      <c r="L5" s="5">
        <v>3939</v>
      </c>
      <c r="M5" s="5">
        <v>4050</v>
      </c>
      <c r="N5" s="5">
        <v>1177</v>
      </c>
      <c r="O5" s="5">
        <v>67</v>
      </c>
      <c r="P5" s="5">
        <v>465</v>
      </c>
      <c r="Q5" s="5">
        <v>10</v>
      </c>
      <c r="R5" s="5">
        <v>177</v>
      </c>
      <c r="S5" s="5">
        <v>1313</v>
      </c>
      <c r="T5" s="5">
        <v>2127</v>
      </c>
      <c r="U5" s="5">
        <v>435</v>
      </c>
      <c r="V5" s="5">
        <v>743</v>
      </c>
      <c r="W5" s="5">
        <v>6515</v>
      </c>
      <c r="X5" s="5">
        <v>13842</v>
      </c>
      <c r="Y5" s="5">
        <v>1960</v>
      </c>
      <c r="Z5" s="5">
        <v>316</v>
      </c>
      <c r="AA5" s="5">
        <v>15486</v>
      </c>
      <c r="AB5" s="5">
        <v>1623</v>
      </c>
      <c r="AC5" s="5">
        <v>95441</v>
      </c>
    </row>
    <row r="6" spans="1:29" x14ac:dyDescent="0.3">
      <c r="A6" s="4" t="s">
        <v>7</v>
      </c>
      <c r="B6" s="5">
        <v>1849</v>
      </c>
      <c r="C6" s="5">
        <v>132</v>
      </c>
      <c r="D6" s="5">
        <v>926</v>
      </c>
      <c r="E6" s="5">
        <v>110</v>
      </c>
      <c r="F6" s="5">
        <v>3016</v>
      </c>
      <c r="G6" s="5">
        <v>344</v>
      </c>
      <c r="H6" s="5">
        <v>3360</v>
      </c>
      <c r="I6" s="5">
        <v>1226</v>
      </c>
      <c r="J6" s="5">
        <v>134</v>
      </c>
      <c r="K6" s="5">
        <v>401</v>
      </c>
      <c r="L6" s="5">
        <v>1761</v>
      </c>
      <c r="M6" s="5">
        <v>2104</v>
      </c>
      <c r="N6" s="5">
        <v>526</v>
      </c>
      <c r="O6" s="5">
        <v>30</v>
      </c>
      <c r="P6" s="5">
        <v>208</v>
      </c>
      <c r="Q6" s="5">
        <v>5</v>
      </c>
      <c r="R6" s="5">
        <v>79</v>
      </c>
      <c r="S6" s="5">
        <v>587</v>
      </c>
      <c r="T6" s="5">
        <v>951</v>
      </c>
      <c r="U6" s="5">
        <v>195</v>
      </c>
      <c r="V6" s="5">
        <v>332</v>
      </c>
      <c r="W6" s="5">
        <v>2912</v>
      </c>
      <c r="X6" s="5">
        <v>8033</v>
      </c>
      <c r="Y6" s="5">
        <v>1138</v>
      </c>
      <c r="Z6" s="5">
        <v>183</v>
      </c>
      <c r="AA6" s="5">
        <v>8987</v>
      </c>
      <c r="AB6" s="5">
        <v>853</v>
      </c>
      <c r="AC6" s="5">
        <v>105306</v>
      </c>
    </row>
    <row r="7" spans="1:29" s="2" customFormat="1" x14ac:dyDescent="0.3">
      <c r="A7" s="18" t="s">
        <v>405</v>
      </c>
      <c r="B7" s="19">
        <v>8353</v>
      </c>
      <c r="C7" s="19">
        <v>1538</v>
      </c>
      <c r="D7" s="19">
        <v>3432</v>
      </c>
      <c r="E7" s="19">
        <v>1842</v>
      </c>
      <c r="F7" s="19">
        <v>15167</v>
      </c>
      <c r="G7" s="19">
        <v>44365</v>
      </c>
      <c r="H7" s="19">
        <v>59532</v>
      </c>
      <c r="I7" s="19">
        <v>98804</v>
      </c>
      <c r="J7" s="19">
        <v>10765</v>
      </c>
      <c r="K7" s="19">
        <v>32349</v>
      </c>
      <c r="L7" s="19">
        <v>141919</v>
      </c>
      <c r="M7" s="19">
        <v>186283</v>
      </c>
      <c r="N7" s="19">
        <v>42412</v>
      </c>
      <c r="O7" s="19">
        <v>2405</v>
      </c>
      <c r="P7" s="19">
        <v>16746</v>
      </c>
      <c r="Q7" s="19">
        <v>372</v>
      </c>
      <c r="R7" s="19">
        <v>6382</v>
      </c>
      <c r="S7" s="19">
        <v>47322</v>
      </c>
      <c r="T7" s="19">
        <v>76651</v>
      </c>
      <c r="U7" s="19">
        <v>15691</v>
      </c>
      <c r="V7" s="19">
        <v>26757</v>
      </c>
      <c r="W7" s="19">
        <v>234736</v>
      </c>
      <c r="X7" s="19">
        <v>436187</v>
      </c>
      <c r="Y7" s="19">
        <v>61778</v>
      </c>
      <c r="Z7" s="19">
        <v>9960</v>
      </c>
      <c r="AA7" s="19">
        <v>488002</v>
      </c>
      <c r="AB7" s="19">
        <v>28852</v>
      </c>
      <c r="AC7" s="19">
        <f>AVERAGE(AC2:AC6)</f>
        <v>137302.39999999999</v>
      </c>
    </row>
    <row r="8" spans="1:29" x14ac:dyDescent="0.3">
      <c r="A8" s="27" t="s">
        <v>9</v>
      </c>
      <c r="B8" s="28">
        <v>7493</v>
      </c>
      <c r="C8" s="28">
        <v>1430</v>
      </c>
      <c r="D8" s="28">
        <v>489</v>
      </c>
      <c r="E8" s="28">
        <v>31</v>
      </c>
      <c r="F8" s="28">
        <v>9443</v>
      </c>
      <c r="G8" s="28">
        <v>542</v>
      </c>
      <c r="H8" s="28">
        <v>9985</v>
      </c>
      <c r="I8" s="28">
        <v>11884</v>
      </c>
      <c r="J8" s="28">
        <v>1295</v>
      </c>
      <c r="K8" s="28">
        <v>3891</v>
      </c>
      <c r="L8" s="28">
        <v>17070</v>
      </c>
      <c r="M8" s="28">
        <v>17612</v>
      </c>
      <c r="N8" s="28">
        <v>5101</v>
      </c>
      <c r="O8" s="28">
        <v>289</v>
      </c>
      <c r="P8" s="28">
        <v>2014</v>
      </c>
      <c r="Q8" s="28">
        <v>45</v>
      </c>
      <c r="R8" s="28">
        <v>768</v>
      </c>
      <c r="S8" s="28">
        <v>5692</v>
      </c>
      <c r="T8" s="28">
        <v>9220</v>
      </c>
      <c r="U8" s="28">
        <v>1887</v>
      </c>
      <c r="V8" s="28">
        <v>3218</v>
      </c>
      <c r="W8" s="28">
        <v>28234</v>
      </c>
      <c r="X8" s="28">
        <v>55289</v>
      </c>
      <c r="Y8" s="28">
        <v>7831</v>
      </c>
      <c r="Z8" s="28">
        <v>1263</v>
      </c>
      <c r="AA8" s="28">
        <v>61857</v>
      </c>
      <c r="AB8" s="28">
        <v>6146</v>
      </c>
      <c r="AC8" s="28">
        <v>100641</v>
      </c>
    </row>
    <row r="9" spans="1:29" x14ac:dyDescent="0.3">
      <c r="A9" s="27" t="s">
        <v>10</v>
      </c>
      <c r="B9" s="28">
        <v>2653</v>
      </c>
      <c r="C9" s="28">
        <v>477</v>
      </c>
      <c r="D9" s="28">
        <v>198</v>
      </c>
      <c r="E9" s="28">
        <v>14</v>
      </c>
      <c r="F9" s="28">
        <v>3343</v>
      </c>
      <c r="G9" s="28">
        <v>388</v>
      </c>
      <c r="H9" s="28">
        <v>3731</v>
      </c>
      <c r="I9" s="28">
        <v>2842</v>
      </c>
      <c r="J9" s="28">
        <v>310</v>
      </c>
      <c r="K9" s="28">
        <v>930</v>
      </c>
      <c r="L9" s="28">
        <v>4082</v>
      </c>
      <c r="M9" s="28">
        <v>4470</v>
      </c>
      <c r="N9" s="28">
        <v>1220</v>
      </c>
      <c r="O9" s="28">
        <v>69</v>
      </c>
      <c r="P9" s="28">
        <v>482</v>
      </c>
      <c r="Q9" s="28">
        <v>11</v>
      </c>
      <c r="R9" s="28">
        <v>184</v>
      </c>
      <c r="S9" s="28">
        <v>1361</v>
      </c>
      <c r="T9" s="28">
        <v>2205</v>
      </c>
      <c r="U9" s="28">
        <v>451</v>
      </c>
      <c r="V9" s="28">
        <v>770</v>
      </c>
      <c r="W9" s="28">
        <v>6751</v>
      </c>
      <c r="X9" s="28">
        <v>14564</v>
      </c>
      <c r="Y9" s="28">
        <v>2063</v>
      </c>
      <c r="Z9" s="28">
        <v>333</v>
      </c>
      <c r="AA9" s="28">
        <v>16294</v>
      </c>
      <c r="AB9" s="28">
        <v>2062</v>
      </c>
      <c r="AC9" s="28">
        <v>79022</v>
      </c>
    </row>
    <row r="10" spans="1:29" x14ac:dyDescent="0.3">
      <c r="A10" s="27" t="s">
        <v>11</v>
      </c>
      <c r="B10" s="28">
        <v>1590</v>
      </c>
      <c r="C10" s="28">
        <v>568</v>
      </c>
      <c r="D10" s="28">
        <v>168</v>
      </c>
      <c r="E10" s="28">
        <v>7</v>
      </c>
      <c r="F10" s="28">
        <v>2333</v>
      </c>
      <c r="G10" s="28">
        <v>244</v>
      </c>
      <c r="H10" s="28">
        <v>2577</v>
      </c>
      <c r="I10" s="28">
        <v>1425</v>
      </c>
      <c r="J10" s="28">
        <v>155</v>
      </c>
      <c r="K10" s="28">
        <v>467</v>
      </c>
      <c r="L10" s="28">
        <v>2047</v>
      </c>
      <c r="M10" s="28">
        <v>2291</v>
      </c>
      <c r="N10" s="28">
        <v>612</v>
      </c>
      <c r="O10" s="28">
        <v>35</v>
      </c>
      <c r="P10" s="28">
        <v>242</v>
      </c>
      <c r="Q10" s="28">
        <v>5</v>
      </c>
      <c r="R10" s="28">
        <v>92</v>
      </c>
      <c r="S10" s="28">
        <v>683</v>
      </c>
      <c r="T10" s="28">
        <v>1106</v>
      </c>
      <c r="U10" s="28">
        <v>226</v>
      </c>
      <c r="V10" s="28">
        <v>386</v>
      </c>
      <c r="W10" s="28">
        <v>3386</v>
      </c>
      <c r="X10" s="28">
        <v>8010</v>
      </c>
      <c r="Y10" s="28">
        <v>1134</v>
      </c>
      <c r="Z10" s="28">
        <v>183</v>
      </c>
      <c r="AA10" s="28">
        <v>8962</v>
      </c>
      <c r="AB10" s="28">
        <v>1656</v>
      </c>
      <c r="AC10" s="28">
        <v>54115</v>
      </c>
    </row>
    <row r="11" spans="1:29" x14ac:dyDescent="0.3">
      <c r="A11" s="27" t="s">
        <v>12</v>
      </c>
      <c r="B11" s="28">
        <v>5938</v>
      </c>
      <c r="C11" s="28">
        <v>988</v>
      </c>
      <c r="D11" s="28">
        <v>368</v>
      </c>
      <c r="E11" s="28">
        <v>38</v>
      </c>
      <c r="F11" s="28">
        <v>7333</v>
      </c>
      <c r="G11" s="28">
        <v>858</v>
      </c>
      <c r="H11" s="28">
        <v>8191</v>
      </c>
      <c r="I11" s="28">
        <v>5631</v>
      </c>
      <c r="J11" s="28">
        <v>614</v>
      </c>
      <c r="K11" s="28">
        <v>1844</v>
      </c>
      <c r="L11" s="28">
        <v>8088</v>
      </c>
      <c r="M11" s="28">
        <v>8946</v>
      </c>
      <c r="N11" s="28">
        <v>2417</v>
      </c>
      <c r="O11" s="28">
        <v>137</v>
      </c>
      <c r="P11" s="28">
        <v>954</v>
      </c>
      <c r="Q11" s="28">
        <v>21</v>
      </c>
      <c r="R11" s="28">
        <v>364</v>
      </c>
      <c r="S11" s="28">
        <v>2697</v>
      </c>
      <c r="T11" s="28">
        <v>4369</v>
      </c>
      <c r="U11" s="28">
        <v>894</v>
      </c>
      <c r="V11" s="28">
        <v>1525</v>
      </c>
      <c r="W11" s="28">
        <v>13378</v>
      </c>
      <c r="X11" s="28">
        <v>29657</v>
      </c>
      <c r="Y11" s="28">
        <v>4200</v>
      </c>
      <c r="Z11" s="28">
        <v>677</v>
      </c>
      <c r="AA11" s="28">
        <v>33180</v>
      </c>
      <c r="AB11" s="28">
        <v>4254</v>
      </c>
      <c r="AC11" s="28">
        <v>77998</v>
      </c>
    </row>
    <row r="12" spans="1:29" x14ac:dyDescent="0.3">
      <c r="A12" s="27" t="s">
        <v>380</v>
      </c>
      <c r="B12" s="28">
        <v>6405</v>
      </c>
      <c r="C12" s="28">
        <v>3563</v>
      </c>
      <c r="D12" s="28">
        <v>584</v>
      </c>
      <c r="E12" s="28">
        <v>16</v>
      </c>
      <c r="F12" s="28">
        <v>10568</v>
      </c>
      <c r="G12" s="28">
        <v>204</v>
      </c>
      <c r="H12" s="28">
        <v>10772</v>
      </c>
      <c r="I12" s="28">
        <v>6938</v>
      </c>
      <c r="J12" s="28">
        <v>756</v>
      </c>
      <c r="K12" s="28">
        <v>2271</v>
      </c>
      <c r="L12" s="28">
        <v>9965</v>
      </c>
      <c r="M12" s="28">
        <v>10169</v>
      </c>
      <c r="N12" s="28">
        <v>2978</v>
      </c>
      <c r="O12" s="28">
        <v>169</v>
      </c>
      <c r="P12" s="28">
        <v>1176</v>
      </c>
      <c r="Q12" s="28">
        <v>26</v>
      </c>
      <c r="R12" s="28">
        <v>448</v>
      </c>
      <c r="S12" s="28">
        <v>3323</v>
      </c>
      <c r="T12" s="28">
        <v>5382</v>
      </c>
      <c r="U12" s="28">
        <v>1102</v>
      </c>
      <c r="V12" s="28">
        <v>1879</v>
      </c>
      <c r="W12" s="28">
        <v>16482</v>
      </c>
      <c r="X12" s="28">
        <v>37219</v>
      </c>
      <c r="Y12" s="28">
        <v>5271</v>
      </c>
      <c r="Z12" s="28">
        <v>850</v>
      </c>
      <c r="AA12" s="28">
        <v>41640</v>
      </c>
      <c r="AB12" s="28">
        <v>4565</v>
      </c>
      <c r="AC12" s="28">
        <v>91207</v>
      </c>
    </row>
    <row r="13" spans="1:29" s="2" customFormat="1" x14ac:dyDescent="0.3">
      <c r="A13" s="7" t="s">
        <v>408</v>
      </c>
      <c r="B13" s="8">
        <v>24079</v>
      </c>
      <c r="C13" s="8">
        <v>7026</v>
      </c>
      <c r="D13" s="8">
        <v>1807</v>
      </c>
      <c r="E13" s="8">
        <v>106</v>
      </c>
      <c r="F13" s="8">
        <v>33020</v>
      </c>
      <c r="G13" s="8">
        <v>2236</v>
      </c>
      <c r="H13" s="8">
        <v>35256</v>
      </c>
      <c r="I13" s="8">
        <v>28720</v>
      </c>
      <c r="J13" s="8">
        <v>3130</v>
      </c>
      <c r="K13" s="8">
        <v>9403</v>
      </c>
      <c r="L13" s="8">
        <v>41252</v>
      </c>
      <c r="M13" s="8">
        <v>43488</v>
      </c>
      <c r="N13" s="8">
        <v>12328</v>
      </c>
      <c r="O13" s="8">
        <v>699</v>
      </c>
      <c r="P13" s="8">
        <v>4868</v>
      </c>
      <c r="Q13" s="8">
        <v>108</v>
      </c>
      <c r="R13" s="8">
        <v>1856</v>
      </c>
      <c r="S13" s="8">
        <v>13756</v>
      </c>
      <c r="T13" s="8">
        <v>22282</v>
      </c>
      <c r="U13" s="8">
        <v>4560</v>
      </c>
      <c r="V13" s="8">
        <v>7778</v>
      </c>
      <c r="W13" s="8">
        <v>68231</v>
      </c>
      <c r="X13" s="8">
        <v>144739</v>
      </c>
      <c r="Y13" s="8">
        <v>20499</v>
      </c>
      <c r="Z13" s="8">
        <v>3306</v>
      </c>
      <c r="AA13" s="8">
        <v>161933</v>
      </c>
      <c r="AB13" s="8">
        <v>18683</v>
      </c>
      <c r="AC13" s="8">
        <f>AVERAGE(AC8:AC12)</f>
        <v>80596.600000000006</v>
      </c>
    </row>
    <row r="14" spans="1:29" x14ac:dyDescent="0.3">
      <c r="A14" s="9" t="s">
        <v>13</v>
      </c>
      <c r="B14" s="10">
        <v>7515</v>
      </c>
      <c r="C14" s="10">
        <v>2943</v>
      </c>
      <c r="D14" s="10">
        <v>859</v>
      </c>
      <c r="E14" s="10">
        <v>170</v>
      </c>
      <c r="F14" s="10">
        <v>11488</v>
      </c>
      <c r="G14" s="10">
        <v>1259</v>
      </c>
      <c r="H14" s="10">
        <v>12747</v>
      </c>
      <c r="I14" s="10">
        <v>31058</v>
      </c>
      <c r="J14" s="10">
        <v>3384</v>
      </c>
      <c r="K14" s="10">
        <v>10169</v>
      </c>
      <c r="L14" s="10">
        <v>44611</v>
      </c>
      <c r="M14" s="10">
        <v>45870</v>
      </c>
      <c r="N14" s="10">
        <v>13332</v>
      </c>
      <c r="O14" s="10">
        <v>756</v>
      </c>
      <c r="P14" s="10">
        <v>5264</v>
      </c>
      <c r="Q14" s="10">
        <v>117</v>
      </c>
      <c r="R14" s="10">
        <v>2006</v>
      </c>
      <c r="S14" s="10">
        <v>14875</v>
      </c>
      <c r="T14" s="10">
        <v>24095</v>
      </c>
      <c r="U14" s="10">
        <v>4932</v>
      </c>
      <c r="V14" s="10">
        <v>8411</v>
      </c>
      <c r="W14" s="10">
        <v>73787</v>
      </c>
      <c r="X14" s="10">
        <v>131145</v>
      </c>
      <c r="Y14" s="10">
        <v>18574</v>
      </c>
      <c r="Z14" s="10">
        <v>2995</v>
      </c>
      <c r="AA14" s="10">
        <v>146724</v>
      </c>
      <c r="AB14" s="10">
        <v>9501</v>
      </c>
      <c r="AC14" s="10">
        <v>154422</v>
      </c>
    </row>
    <row r="15" spans="1:29" x14ac:dyDescent="0.3">
      <c r="A15" s="9" t="s">
        <v>14</v>
      </c>
      <c r="B15" s="10">
        <v>4027</v>
      </c>
      <c r="C15" s="10">
        <v>1482</v>
      </c>
      <c r="D15" s="10">
        <v>523</v>
      </c>
      <c r="E15" s="10">
        <v>18</v>
      </c>
      <c r="F15" s="10">
        <v>6049</v>
      </c>
      <c r="G15" s="10">
        <v>20</v>
      </c>
      <c r="H15" s="10">
        <v>6069</v>
      </c>
      <c r="I15" s="10">
        <v>5146</v>
      </c>
      <c r="J15" s="10">
        <v>561</v>
      </c>
      <c r="K15" s="10">
        <v>1685</v>
      </c>
      <c r="L15" s="10">
        <v>7391</v>
      </c>
      <c r="M15" s="10">
        <v>7411</v>
      </c>
      <c r="N15" s="10">
        <v>2209</v>
      </c>
      <c r="O15" s="10">
        <v>125</v>
      </c>
      <c r="P15" s="10">
        <v>872</v>
      </c>
      <c r="Q15" s="10">
        <v>19</v>
      </c>
      <c r="R15" s="10">
        <v>332</v>
      </c>
      <c r="S15" s="10">
        <v>2464</v>
      </c>
      <c r="T15" s="10">
        <v>3992</v>
      </c>
      <c r="U15" s="10">
        <v>817</v>
      </c>
      <c r="V15" s="10">
        <v>1393</v>
      </c>
      <c r="W15" s="10">
        <v>12225</v>
      </c>
      <c r="X15" s="10">
        <v>25684</v>
      </c>
      <c r="Y15" s="10">
        <v>3638</v>
      </c>
      <c r="Z15" s="10">
        <v>587</v>
      </c>
      <c r="AA15" s="10">
        <v>28735</v>
      </c>
      <c r="AB15" s="10">
        <v>3018</v>
      </c>
      <c r="AC15" s="10">
        <v>95204</v>
      </c>
    </row>
    <row r="16" spans="1:29" x14ac:dyDescent="0.3">
      <c r="A16" s="9" t="s">
        <v>15</v>
      </c>
      <c r="B16" s="10">
        <v>4754</v>
      </c>
      <c r="C16" s="10">
        <v>1931</v>
      </c>
      <c r="D16" s="10">
        <v>754</v>
      </c>
      <c r="E16" s="10">
        <v>16</v>
      </c>
      <c r="F16" s="10">
        <v>7455</v>
      </c>
      <c r="G16" s="10">
        <v>480</v>
      </c>
      <c r="H16" s="10">
        <v>7936</v>
      </c>
      <c r="I16" s="10">
        <v>4756</v>
      </c>
      <c r="J16" s="10">
        <v>518</v>
      </c>
      <c r="K16" s="10">
        <v>1557</v>
      </c>
      <c r="L16" s="10">
        <v>6831</v>
      </c>
      <c r="M16" s="10">
        <v>7312</v>
      </c>
      <c r="N16" s="10">
        <v>2041</v>
      </c>
      <c r="O16" s="10">
        <v>116</v>
      </c>
      <c r="P16" s="10">
        <v>806</v>
      </c>
      <c r="Q16" s="10">
        <v>18</v>
      </c>
      <c r="R16" s="10">
        <v>307</v>
      </c>
      <c r="S16" s="10">
        <v>2278</v>
      </c>
      <c r="T16" s="10">
        <v>3690</v>
      </c>
      <c r="U16" s="10">
        <v>755</v>
      </c>
      <c r="V16" s="10">
        <v>1288</v>
      </c>
      <c r="W16" s="10">
        <v>11299</v>
      </c>
      <c r="X16" s="10">
        <v>26066</v>
      </c>
      <c r="Y16" s="10">
        <v>3692</v>
      </c>
      <c r="Z16" s="10">
        <v>595</v>
      </c>
      <c r="AA16" s="10">
        <v>29162</v>
      </c>
      <c r="AB16" s="10">
        <v>2837</v>
      </c>
      <c r="AC16" s="10">
        <v>102792</v>
      </c>
    </row>
    <row r="17" spans="1:29" x14ac:dyDescent="0.3">
      <c r="A17" s="9" t="s">
        <v>16</v>
      </c>
      <c r="B17" s="10">
        <v>6117</v>
      </c>
      <c r="C17" s="10">
        <v>2424</v>
      </c>
      <c r="D17" s="10">
        <v>559</v>
      </c>
      <c r="E17" s="10">
        <v>15</v>
      </c>
      <c r="F17" s="10">
        <v>9116</v>
      </c>
      <c r="G17" s="10">
        <v>621</v>
      </c>
      <c r="H17" s="10">
        <v>9737</v>
      </c>
      <c r="I17" s="10">
        <v>7797</v>
      </c>
      <c r="J17" s="10">
        <v>849</v>
      </c>
      <c r="K17" s="10">
        <v>2553</v>
      </c>
      <c r="L17" s="10">
        <v>11199</v>
      </c>
      <c r="M17" s="10">
        <v>11820</v>
      </c>
      <c r="N17" s="10">
        <v>3347</v>
      </c>
      <c r="O17" s="10">
        <v>190</v>
      </c>
      <c r="P17" s="10">
        <v>1321</v>
      </c>
      <c r="Q17" s="10">
        <v>29</v>
      </c>
      <c r="R17" s="10">
        <v>504</v>
      </c>
      <c r="S17" s="10">
        <v>3734</v>
      </c>
      <c r="T17" s="10">
        <v>6049</v>
      </c>
      <c r="U17" s="10">
        <v>1238</v>
      </c>
      <c r="V17" s="10">
        <v>2111</v>
      </c>
      <c r="W17" s="10">
        <v>18523</v>
      </c>
      <c r="X17" s="10">
        <v>39459</v>
      </c>
      <c r="Y17" s="10">
        <v>5589</v>
      </c>
      <c r="Z17" s="10">
        <v>901</v>
      </c>
      <c r="AA17" s="10">
        <v>44146</v>
      </c>
      <c r="AB17" s="10">
        <v>4343</v>
      </c>
      <c r="AC17" s="10">
        <v>101660</v>
      </c>
    </row>
    <row r="18" spans="1:29" x14ac:dyDescent="0.3">
      <c r="A18" s="9" t="s">
        <v>17</v>
      </c>
      <c r="B18" s="10">
        <v>4535</v>
      </c>
      <c r="C18" s="10">
        <v>2505</v>
      </c>
      <c r="D18" s="10">
        <v>550</v>
      </c>
      <c r="E18" s="10">
        <v>19</v>
      </c>
      <c r="F18" s="10">
        <v>7608</v>
      </c>
      <c r="G18" s="10">
        <v>305</v>
      </c>
      <c r="H18" s="10">
        <v>7913</v>
      </c>
      <c r="I18" s="10">
        <v>8609</v>
      </c>
      <c r="J18" s="10">
        <v>938</v>
      </c>
      <c r="K18" s="10">
        <v>2819</v>
      </c>
      <c r="L18" s="10">
        <v>12366</v>
      </c>
      <c r="M18" s="10">
        <v>12670</v>
      </c>
      <c r="N18" s="10">
        <v>3696</v>
      </c>
      <c r="O18" s="10">
        <v>210</v>
      </c>
      <c r="P18" s="10">
        <v>1459</v>
      </c>
      <c r="Q18" s="10">
        <v>32</v>
      </c>
      <c r="R18" s="10">
        <v>556</v>
      </c>
      <c r="S18" s="10">
        <v>4123</v>
      </c>
      <c r="T18" s="10">
        <v>6679</v>
      </c>
      <c r="U18" s="10">
        <v>1367</v>
      </c>
      <c r="V18" s="10">
        <v>2331</v>
      </c>
      <c r="W18" s="10">
        <v>20453</v>
      </c>
      <c r="X18" s="10">
        <v>40732</v>
      </c>
      <c r="Y18" s="10">
        <v>5769</v>
      </c>
      <c r="Z18" s="10">
        <v>930</v>
      </c>
      <c r="AA18" s="10">
        <v>45571</v>
      </c>
      <c r="AB18" s="10">
        <v>3898</v>
      </c>
      <c r="AC18" s="10">
        <v>116907</v>
      </c>
    </row>
    <row r="19" spans="1:29" s="2" customFormat="1" x14ac:dyDescent="0.3">
      <c r="A19" s="12" t="s">
        <v>404</v>
      </c>
      <c r="B19" s="13">
        <v>26948</v>
      </c>
      <c r="C19" s="13">
        <v>11285</v>
      </c>
      <c r="D19" s="13">
        <v>3245</v>
      </c>
      <c r="E19" s="13">
        <v>238</v>
      </c>
      <c r="F19" s="13">
        <v>41716</v>
      </c>
      <c r="G19" s="13">
        <v>2685</v>
      </c>
      <c r="H19" s="13">
        <v>44402</v>
      </c>
      <c r="I19" s="13">
        <v>57366</v>
      </c>
      <c r="J19" s="13">
        <v>6250</v>
      </c>
      <c r="K19" s="13">
        <v>18783</v>
      </c>
      <c r="L19" s="13">
        <v>82398</v>
      </c>
      <c r="M19" s="13">
        <v>85083</v>
      </c>
      <c r="N19" s="13">
        <v>24625</v>
      </c>
      <c r="O19" s="13">
        <v>1397</v>
      </c>
      <c r="P19" s="13">
        <v>9722</v>
      </c>
      <c r="Q19" s="13">
        <v>215</v>
      </c>
      <c r="R19" s="13">
        <v>3705</v>
      </c>
      <c r="S19" s="13">
        <v>27474</v>
      </c>
      <c r="T19" s="13">
        <v>44505</v>
      </c>
      <c r="U19" s="13">
        <v>9109</v>
      </c>
      <c r="V19" s="13">
        <v>15534</v>
      </c>
      <c r="W19" s="13">
        <v>136287</v>
      </c>
      <c r="X19" s="13">
        <v>263086</v>
      </c>
      <c r="Y19" s="13">
        <v>37262</v>
      </c>
      <c r="Z19" s="13">
        <v>6008</v>
      </c>
      <c r="AA19" s="13">
        <v>294338</v>
      </c>
      <c r="AB19" s="13">
        <v>23597</v>
      </c>
      <c r="AC19" s="13">
        <f>AVERAGE(AC14:AC18)</f>
        <v>114197</v>
      </c>
    </row>
    <row r="20" spans="1:29" x14ac:dyDescent="0.3">
      <c r="A20" s="31" t="s">
        <v>18</v>
      </c>
      <c r="B20" s="32">
        <v>3079</v>
      </c>
      <c r="C20" s="32">
        <v>1297</v>
      </c>
      <c r="D20" s="32">
        <v>423</v>
      </c>
      <c r="E20" s="32">
        <v>37</v>
      </c>
      <c r="F20" s="32">
        <v>4836</v>
      </c>
      <c r="G20" s="32">
        <v>76</v>
      </c>
      <c r="H20" s="32">
        <v>4912</v>
      </c>
      <c r="I20" s="32">
        <v>6980</v>
      </c>
      <c r="J20" s="32">
        <v>760</v>
      </c>
      <c r="K20" s="32">
        <v>2285</v>
      </c>
      <c r="L20" s="32">
        <v>10025</v>
      </c>
      <c r="M20" s="32">
        <v>10101</v>
      </c>
      <c r="N20" s="32">
        <v>2996</v>
      </c>
      <c r="O20" s="32">
        <v>170</v>
      </c>
      <c r="P20" s="32">
        <v>1183</v>
      </c>
      <c r="Q20" s="32">
        <v>26</v>
      </c>
      <c r="R20" s="32">
        <v>451</v>
      </c>
      <c r="S20" s="32">
        <v>3343</v>
      </c>
      <c r="T20" s="32">
        <v>5415</v>
      </c>
      <c r="U20" s="32">
        <v>1108</v>
      </c>
      <c r="V20" s="32">
        <v>1890</v>
      </c>
      <c r="W20" s="32">
        <v>16582</v>
      </c>
      <c r="X20" s="32">
        <v>31519</v>
      </c>
      <c r="Y20" s="32">
        <v>4464</v>
      </c>
      <c r="Z20" s="32">
        <v>720</v>
      </c>
      <c r="AA20" s="32">
        <v>35264</v>
      </c>
      <c r="AB20" s="32">
        <v>3725</v>
      </c>
      <c r="AC20" s="32">
        <v>94660</v>
      </c>
    </row>
    <row r="21" spans="1:29" x14ac:dyDescent="0.3">
      <c r="A21" s="31" t="s">
        <v>19</v>
      </c>
      <c r="B21" s="32">
        <v>3667</v>
      </c>
      <c r="C21" s="32">
        <v>355</v>
      </c>
      <c r="D21" s="32">
        <v>504</v>
      </c>
      <c r="E21" s="32">
        <v>22</v>
      </c>
      <c r="F21" s="32">
        <v>4547</v>
      </c>
      <c r="G21" s="32">
        <v>244</v>
      </c>
      <c r="H21" s="32">
        <v>4791</v>
      </c>
      <c r="I21" s="32">
        <v>2200</v>
      </c>
      <c r="J21" s="32">
        <v>240</v>
      </c>
      <c r="K21" s="32">
        <v>720</v>
      </c>
      <c r="L21" s="32">
        <v>3160</v>
      </c>
      <c r="M21" s="32">
        <v>3404</v>
      </c>
      <c r="N21" s="32">
        <v>944</v>
      </c>
      <c r="O21" s="32">
        <v>54</v>
      </c>
      <c r="P21" s="32">
        <v>373</v>
      </c>
      <c r="Q21" s="32">
        <v>8</v>
      </c>
      <c r="R21" s="32">
        <v>142</v>
      </c>
      <c r="S21" s="32">
        <v>1054</v>
      </c>
      <c r="T21" s="32">
        <v>1707</v>
      </c>
      <c r="U21" s="32">
        <v>349</v>
      </c>
      <c r="V21" s="32">
        <v>596</v>
      </c>
      <c r="W21" s="32">
        <v>5227</v>
      </c>
      <c r="X21" s="32">
        <v>13178</v>
      </c>
      <c r="Y21" s="32">
        <v>1866</v>
      </c>
      <c r="Z21" s="32">
        <v>301</v>
      </c>
      <c r="AA21" s="32">
        <v>14743</v>
      </c>
      <c r="AB21" s="32">
        <v>1969</v>
      </c>
      <c r="AC21" s="32">
        <v>74892</v>
      </c>
    </row>
    <row r="22" spans="1:29" x14ac:dyDescent="0.3">
      <c r="A22" s="31" t="s">
        <v>20</v>
      </c>
      <c r="B22" s="32">
        <v>2878</v>
      </c>
      <c r="C22" s="32">
        <v>368</v>
      </c>
      <c r="D22" s="32">
        <v>163</v>
      </c>
      <c r="E22" s="32">
        <v>13</v>
      </c>
      <c r="F22" s="32">
        <v>3422</v>
      </c>
      <c r="G22" s="32">
        <v>327</v>
      </c>
      <c r="H22" s="32">
        <v>3749</v>
      </c>
      <c r="I22" s="32">
        <v>2204</v>
      </c>
      <c r="J22" s="32">
        <v>240</v>
      </c>
      <c r="K22" s="32">
        <v>721</v>
      </c>
      <c r="L22" s="32">
        <v>3165</v>
      </c>
      <c r="M22" s="32">
        <v>3492</v>
      </c>
      <c r="N22" s="32">
        <v>946</v>
      </c>
      <c r="O22" s="32">
        <v>54</v>
      </c>
      <c r="P22" s="32">
        <v>373</v>
      </c>
      <c r="Q22" s="32">
        <v>8</v>
      </c>
      <c r="R22" s="32">
        <v>142</v>
      </c>
      <c r="S22" s="32">
        <v>1055</v>
      </c>
      <c r="T22" s="32">
        <v>1710</v>
      </c>
      <c r="U22" s="32">
        <v>350</v>
      </c>
      <c r="V22" s="32">
        <v>597</v>
      </c>
      <c r="W22" s="32">
        <v>5235</v>
      </c>
      <c r="X22" s="32">
        <v>12150</v>
      </c>
      <c r="Y22" s="32">
        <v>1721</v>
      </c>
      <c r="Z22" s="32">
        <v>277</v>
      </c>
      <c r="AA22" s="32">
        <v>13593</v>
      </c>
      <c r="AB22" s="32">
        <v>1846</v>
      </c>
      <c r="AC22" s="32">
        <v>73617</v>
      </c>
    </row>
    <row r="23" spans="1:29" x14ac:dyDescent="0.3">
      <c r="A23" s="31" t="s">
        <v>21</v>
      </c>
      <c r="B23" s="32">
        <v>1415</v>
      </c>
      <c r="C23" s="32">
        <v>304</v>
      </c>
      <c r="D23" s="32">
        <v>115</v>
      </c>
      <c r="E23" s="32">
        <v>8</v>
      </c>
      <c r="F23" s="32">
        <v>1841</v>
      </c>
      <c r="G23" s="32">
        <v>133</v>
      </c>
      <c r="H23" s="32">
        <v>1975</v>
      </c>
      <c r="I23" s="32">
        <v>1054</v>
      </c>
      <c r="J23" s="32">
        <v>115</v>
      </c>
      <c r="K23" s="32">
        <v>345</v>
      </c>
      <c r="L23" s="32">
        <v>1514</v>
      </c>
      <c r="M23" s="32">
        <v>1648</v>
      </c>
      <c r="N23" s="32">
        <v>453</v>
      </c>
      <c r="O23" s="32">
        <v>26</v>
      </c>
      <c r="P23" s="32">
        <v>179</v>
      </c>
      <c r="Q23" s="32">
        <v>4</v>
      </c>
      <c r="R23" s="32">
        <v>68</v>
      </c>
      <c r="S23" s="32">
        <v>505</v>
      </c>
      <c r="T23" s="32">
        <v>818</v>
      </c>
      <c r="U23" s="32">
        <v>167</v>
      </c>
      <c r="V23" s="32">
        <v>285</v>
      </c>
      <c r="W23" s="32">
        <v>2505</v>
      </c>
      <c r="X23" s="32">
        <v>5994</v>
      </c>
      <c r="Y23" s="32">
        <v>849</v>
      </c>
      <c r="Z23" s="32">
        <v>137</v>
      </c>
      <c r="AA23" s="32">
        <v>6706</v>
      </c>
      <c r="AB23" s="32">
        <v>1183</v>
      </c>
      <c r="AC23" s="32">
        <v>56697</v>
      </c>
    </row>
    <row r="24" spans="1:29" x14ac:dyDescent="0.3">
      <c r="A24" s="31" t="s">
        <v>22</v>
      </c>
      <c r="B24" s="32">
        <v>3030</v>
      </c>
      <c r="C24" s="32">
        <v>866</v>
      </c>
      <c r="D24" s="32">
        <v>264</v>
      </c>
      <c r="E24" s="32">
        <v>31</v>
      </c>
      <c r="F24" s="32">
        <v>4191</v>
      </c>
      <c r="G24" s="32">
        <v>110</v>
      </c>
      <c r="H24" s="32">
        <v>4301</v>
      </c>
      <c r="I24" s="32">
        <v>2993</v>
      </c>
      <c r="J24" s="32">
        <v>326</v>
      </c>
      <c r="K24" s="32">
        <v>980</v>
      </c>
      <c r="L24" s="32">
        <v>4299</v>
      </c>
      <c r="M24" s="32">
        <v>4409</v>
      </c>
      <c r="N24" s="32">
        <v>1285</v>
      </c>
      <c r="O24" s="32">
        <v>73</v>
      </c>
      <c r="P24" s="32">
        <v>507</v>
      </c>
      <c r="Q24" s="32">
        <v>11</v>
      </c>
      <c r="R24" s="32">
        <v>193</v>
      </c>
      <c r="S24" s="32">
        <v>1433</v>
      </c>
      <c r="T24" s="32">
        <v>2322</v>
      </c>
      <c r="U24" s="32">
        <v>475</v>
      </c>
      <c r="V24" s="32">
        <v>810</v>
      </c>
      <c r="W24" s="32">
        <v>7110</v>
      </c>
      <c r="X24" s="32">
        <v>15710</v>
      </c>
      <c r="Y24" s="32">
        <v>2225</v>
      </c>
      <c r="Z24" s="32">
        <v>359</v>
      </c>
      <c r="AA24" s="32">
        <v>17576</v>
      </c>
      <c r="AB24" s="32">
        <v>2598</v>
      </c>
      <c r="AC24" s="32">
        <v>67661</v>
      </c>
    </row>
    <row r="25" spans="1:29" x14ac:dyDescent="0.3">
      <c r="A25" s="31" t="s">
        <v>23</v>
      </c>
      <c r="B25" s="32">
        <v>2830</v>
      </c>
      <c r="C25" s="32">
        <v>744</v>
      </c>
      <c r="D25" s="32">
        <v>455</v>
      </c>
      <c r="E25" s="32">
        <v>31</v>
      </c>
      <c r="F25" s="32">
        <v>4060</v>
      </c>
      <c r="G25" s="32">
        <v>609</v>
      </c>
      <c r="H25" s="32">
        <v>4669</v>
      </c>
      <c r="I25" s="32">
        <v>4283</v>
      </c>
      <c r="J25" s="32">
        <v>467</v>
      </c>
      <c r="K25" s="32">
        <v>1402</v>
      </c>
      <c r="L25" s="32">
        <v>6153</v>
      </c>
      <c r="M25" s="32">
        <v>6761</v>
      </c>
      <c r="N25" s="32">
        <v>1839</v>
      </c>
      <c r="O25" s="32">
        <v>104</v>
      </c>
      <c r="P25" s="32">
        <v>726</v>
      </c>
      <c r="Q25" s="32">
        <v>16</v>
      </c>
      <c r="R25" s="32">
        <v>277</v>
      </c>
      <c r="S25" s="32">
        <v>2052</v>
      </c>
      <c r="T25" s="32">
        <v>3323</v>
      </c>
      <c r="U25" s="32">
        <v>680</v>
      </c>
      <c r="V25" s="32">
        <v>1160</v>
      </c>
      <c r="W25" s="32">
        <v>10176</v>
      </c>
      <c r="X25" s="32">
        <v>20998</v>
      </c>
      <c r="Y25" s="32">
        <v>2974</v>
      </c>
      <c r="Z25" s="32">
        <v>480</v>
      </c>
      <c r="AA25" s="32">
        <v>23492</v>
      </c>
      <c r="AB25" s="32">
        <v>3379</v>
      </c>
      <c r="AC25" s="32">
        <v>69516</v>
      </c>
    </row>
    <row r="26" spans="1:29" x14ac:dyDescent="0.3">
      <c r="A26" s="31" t="s">
        <v>24</v>
      </c>
      <c r="B26" s="32">
        <v>3680</v>
      </c>
      <c r="C26" s="32">
        <v>684</v>
      </c>
      <c r="D26" s="32">
        <v>206</v>
      </c>
      <c r="E26" s="32">
        <v>17</v>
      </c>
      <c r="F26" s="32">
        <v>4586</v>
      </c>
      <c r="G26" s="32">
        <v>176</v>
      </c>
      <c r="H26" s="32">
        <v>4762</v>
      </c>
      <c r="I26" s="32">
        <v>1829</v>
      </c>
      <c r="J26" s="32">
        <v>199</v>
      </c>
      <c r="K26" s="32">
        <v>599</v>
      </c>
      <c r="L26" s="32">
        <v>2627</v>
      </c>
      <c r="M26" s="32">
        <v>2803</v>
      </c>
      <c r="N26" s="32">
        <v>785</v>
      </c>
      <c r="O26" s="32">
        <v>45</v>
      </c>
      <c r="P26" s="32">
        <v>310</v>
      </c>
      <c r="Q26" s="32">
        <v>7</v>
      </c>
      <c r="R26" s="32">
        <v>118</v>
      </c>
      <c r="S26" s="32">
        <v>876</v>
      </c>
      <c r="T26" s="32">
        <v>1419</v>
      </c>
      <c r="U26" s="32">
        <v>290</v>
      </c>
      <c r="V26" s="32">
        <v>495</v>
      </c>
      <c r="W26" s="32">
        <v>4345</v>
      </c>
      <c r="X26" s="32">
        <v>11733</v>
      </c>
      <c r="Y26" s="32">
        <v>1662</v>
      </c>
      <c r="Z26" s="32">
        <v>268</v>
      </c>
      <c r="AA26" s="32">
        <v>13127</v>
      </c>
      <c r="AB26" s="32">
        <v>1665</v>
      </c>
      <c r="AC26" s="32">
        <v>78823</v>
      </c>
    </row>
    <row r="27" spans="1:29" x14ac:dyDescent="0.3">
      <c r="A27" s="31" t="s">
        <v>25</v>
      </c>
      <c r="B27" s="32">
        <v>2792</v>
      </c>
      <c r="C27" s="32">
        <v>579</v>
      </c>
      <c r="D27" s="32">
        <v>864</v>
      </c>
      <c r="E27" s="32">
        <v>41</v>
      </c>
      <c r="F27" s="32">
        <v>4276</v>
      </c>
      <c r="G27" s="32">
        <v>70</v>
      </c>
      <c r="H27" s="32">
        <v>4346</v>
      </c>
      <c r="I27" s="32">
        <v>3289</v>
      </c>
      <c r="J27" s="32">
        <v>358</v>
      </c>
      <c r="K27" s="32">
        <v>1077</v>
      </c>
      <c r="L27" s="32">
        <v>4725</v>
      </c>
      <c r="M27" s="32">
        <v>4795</v>
      </c>
      <c r="N27" s="32">
        <v>1412</v>
      </c>
      <c r="O27" s="32">
        <v>80</v>
      </c>
      <c r="P27" s="32">
        <v>557</v>
      </c>
      <c r="Q27" s="32">
        <v>12</v>
      </c>
      <c r="R27" s="32">
        <v>212</v>
      </c>
      <c r="S27" s="32">
        <v>1575</v>
      </c>
      <c r="T27" s="32">
        <v>2552</v>
      </c>
      <c r="U27" s="32">
        <v>522</v>
      </c>
      <c r="V27" s="32">
        <v>891</v>
      </c>
      <c r="W27" s="32">
        <v>7814</v>
      </c>
      <c r="X27" s="32">
        <v>16885</v>
      </c>
      <c r="Y27" s="32">
        <v>2391</v>
      </c>
      <c r="Z27" s="32">
        <v>386</v>
      </c>
      <c r="AA27" s="32">
        <v>18891</v>
      </c>
      <c r="AB27" s="32">
        <v>2467</v>
      </c>
      <c r="AC27" s="32">
        <v>76571</v>
      </c>
    </row>
    <row r="28" spans="1:29" s="2" customFormat="1" x14ac:dyDescent="0.3">
      <c r="A28" s="14" t="s">
        <v>403</v>
      </c>
      <c r="B28" s="15">
        <v>23371</v>
      </c>
      <c r="C28" s="15">
        <v>5197</v>
      </c>
      <c r="D28" s="15">
        <v>2994</v>
      </c>
      <c r="E28" s="15">
        <v>200</v>
      </c>
      <c r="F28" s="15">
        <v>31759</v>
      </c>
      <c r="G28" s="15">
        <v>1745</v>
      </c>
      <c r="H28" s="15">
        <v>33505</v>
      </c>
      <c r="I28" s="15">
        <v>24832</v>
      </c>
      <c r="J28" s="15">
        <v>2705</v>
      </c>
      <c r="K28" s="15">
        <v>8129</v>
      </c>
      <c r="L28" s="15">
        <v>35668</v>
      </c>
      <c r="M28" s="15">
        <v>37413</v>
      </c>
      <c r="N28" s="15">
        <v>10660</v>
      </c>
      <c r="O28" s="15">
        <v>606</v>
      </c>
      <c r="P28" s="15">
        <v>4208</v>
      </c>
      <c r="Q28" s="15">
        <v>92</v>
      </c>
      <c r="R28" s="15">
        <v>1603</v>
      </c>
      <c r="S28" s="15">
        <v>11893</v>
      </c>
      <c r="T28" s="15">
        <v>19266</v>
      </c>
      <c r="U28" s="15">
        <v>3941</v>
      </c>
      <c r="V28" s="15">
        <v>6724</v>
      </c>
      <c r="W28" s="15">
        <v>58994</v>
      </c>
      <c r="X28" s="15">
        <v>128167</v>
      </c>
      <c r="Y28" s="15">
        <v>18152</v>
      </c>
      <c r="Z28" s="15">
        <v>2928</v>
      </c>
      <c r="AA28" s="15">
        <v>143392</v>
      </c>
      <c r="AB28" s="15">
        <v>18832</v>
      </c>
      <c r="AC28" s="15">
        <f>AVERAGE(AC20:AC27)</f>
        <v>74054.625</v>
      </c>
    </row>
    <row r="29" spans="1:29" x14ac:dyDescent="0.3">
      <c r="A29" s="34" t="s">
        <v>26</v>
      </c>
      <c r="B29" s="35">
        <v>2466</v>
      </c>
      <c r="C29" s="35">
        <v>558</v>
      </c>
      <c r="D29" s="35">
        <v>225</v>
      </c>
      <c r="E29" s="35">
        <v>39</v>
      </c>
      <c r="F29" s="35">
        <v>3288</v>
      </c>
      <c r="G29" s="35">
        <v>56</v>
      </c>
      <c r="H29" s="35">
        <v>3344</v>
      </c>
      <c r="I29" s="35">
        <v>2513</v>
      </c>
      <c r="J29" s="35">
        <v>274</v>
      </c>
      <c r="K29" s="35">
        <v>823</v>
      </c>
      <c r="L29" s="35">
        <v>3610</v>
      </c>
      <c r="M29" s="35">
        <v>3666</v>
      </c>
      <c r="N29" s="35">
        <v>1079</v>
      </c>
      <c r="O29" s="35">
        <v>61</v>
      </c>
      <c r="P29" s="35">
        <v>426</v>
      </c>
      <c r="Q29" s="35">
        <v>9</v>
      </c>
      <c r="R29" s="35">
        <v>162</v>
      </c>
      <c r="S29" s="35">
        <v>1204</v>
      </c>
      <c r="T29" s="35">
        <v>1950</v>
      </c>
      <c r="U29" s="35">
        <v>399</v>
      </c>
      <c r="V29" s="35">
        <v>681</v>
      </c>
      <c r="W29" s="35">
        <v>5970</v>
      </c>
      <c r="X29" s="35">
        <v>12924</v>
      </c>
      <c r="Y29" s="35">
        <v>1830</v>
      </c>
      <c r="Z29" s="35">
        <v>295</v>
      </c>
      <c r="AA29" s="35">
        <v>14459</v>
      </c>
      <c r="AB29" s="35">
        <v>2599</v>
      </c>
      <c r="AC29" s="35">
        <v>55630</v>
      </c>
    </row>
    <row r="30" spans="1:29" x14ac:dyDescent="0.3">
      <c r="A30" s="34" t="s">
        <v>27</v>
      </c>
      <c r="B30" s="35">
        <v>1838</v>
      </c>
      <c r="C30" s="35">
        <v>238</v>
      </c>
      <c r="D30" s="35">
        <v>145</v>
      </c>
      <c r="E30" s="35">
        <v>15</v>
      </c>
      <c r="F30" s="35">
        <v>2236</v>
      </c>
      <c r="G30" s="35">
        <v>85</v>
      </c>
      <c r="H30" s="35">
        <v>2321</v>
      </c>
      <c r="I30" s="35">
        <v>2809</v>
      </c>
      <c r="J30" s="35">
        <v>306</v>
      </c>
      <c r="K30" s="35">
        <v>920</v>
      </c>
      <c r="L30" s="35">
        <v>4035</v>
      </c>
      <c r="M30" s="35">
        <v>4120</v>
      </c>
      <c r="N30" s="35">
        <v>1206</v>
      </c>
      <c r="O30" s="35">
        <v>68</v>
      </c>
      <c r="P30" s="35">
        <v>476</v>
      </c>
      <c r="Q30" s="35">
        <v>11</v>
      </c>
      <c r="R30" s="35">
        <v>181</v>
      </c>
      <c r="S30" s="35">
        <v>1345</v>
      </c>
      <c r="T30" s="35">
        <v>2179</v>
      </c>
      <c r="U30" s="35">
        <v>446</v>
      </c>
      <c r="V30" s="35">
        <v>761</v>
      </c>
      <c r="W30" s="35">
        <v>6674</v>
      </c>
      <c r="X30" s="35">
        <v>13030</v>
      </c>
      <c r="Y30" s="35">
        <v>1846</v>
      </c>
      <c r="Z30" s="35">
        <v>298</v>
      </c>
      <c r="AA30" s="35">
        <v>14578</v>
      </c>
      <c r="AB30" s="35">
        <v>1825</v>
      </c>
      <c r="AC30" s="35">
        <v>79873</v>
      </c>
    </row>
    <row r="31" spans="1:29" x14ac:dyDescent="0.3">
      <c r="A31" s="34" t="s">
        <v>28</v>
      </c>
      <c r="B31" s="35">
        <v>2006</v>
      </c>
      <c r="C31" s="35">
        <v>231</v>
      </c>
      <c r="D31" s="35">
        <v>107</v>
      </c>
      <c r="E31" s="35">
        <v>22</v>
      </c>
      <c r="F31" s="35">
        <v>2367</v>
      </c>
      <c r="G31" s="35">
        <v>19</v>
      </c>
      <c r="H31" s="35">
        <v>2385</v>
      </c>
      <c r="I31" s="35">
        <v>1017</v>
      </c>
      <c r="J31" s="35">
        <v>111</v>
      </c>
      <c r="K31" s="35">
        <v>333</v>
      </c>
      <c r="L31" s="35">
        <v>1461</v>
      </c>
      <c r="M31" s="35">
        <v>1479</v>
      </c>
      <c r="N31" s="35">
        <v>437</v>
      </c>
      <c r="O31" s="35">
        <v>25</v>
      </c>
      <c r="P31" s="35">
        <v>172</v>
      </c>
      <c r="Q31" s="35">
        <v>4</v>
      </c>
      <c r="R31" s="35">
        <v>66</v>
      </c>
      <c r="S31" s="35">
        <v>487</v>
      </c>
      <c r="T31" s="35">
        <v>789</v>
      </c>
      <c r="U31" s="35">
        <v>161</v>
      </c>
      <c r="V31" s="35">
        <v>275</v>
      </c>
      <c r="W31" s="35">
        <v>2416</v>
      </c>
      <c r="X31" s="35">
        <v>6262</v>
      </c>
      <c r="Y31" s="35">
        <v>887</v>
      </c>
      <c r="Z31" s="35">
        <v>143</v>
      </c>
      <c r="AA31" s="35">
        <v>7006</v>
      </c>
      <c r="AB31" s="35">
        <v>1203</v>
      </c>
      <c r="AC31" s="35">
        <v>58245</v>
      </c>
    </row>
    <row r="32" spans="1:29" x14ac:dyDescent="0.3">
      <c r="A32" s="34" t="s">
        <v>29</v>
      </c>
      <c r="B32" s="35">
        <v>2684</v>
      </c>
      <c r="C32" s="35">
        <v>394</v>
      </c>
      <c r="D32" s="35">
        <v>445</v>
      </c>
      <c r="E32" s="35">
        <v>29</v>
      </c>
      <c r="F32" s="35">
        <v>3553</v>
      </c>
      <c r="G32" s="35">
        <v>58</v>
      </c>
      <c r="H32" s="35">
        <v>3611</v>
      </c>
      <c r="I32" s="35">
        <v>4009</v>
      </c>
      <c r="J32" s="35">
        <v>437</v>
      </c>
      <c r="K32" s="35">
        <v>1312</v>
      </c>
      <c r="L32" s="35">
        <v>5758</v>
      </c>
      <c r="M32" s="35">
        <v>5816</v>
      </c>
      <c r="N32" s="35">
        <v>1721</v>
      </c>
      <c r="O32" s="35">
        <v>98</v>
      </c>
      <c r="P32" s="35">
        <v>679</v>
      </c>
      <c r="Q32" s="35">
        <v>15</v>
      </c>
      <c r="R32" s="35">
        <v>259</v>
      </c>
      <c r="S32" s="35">
        <v>1920</v>
      </c>
      <c r="T32" s="35">
        <v>3110</v>
      </c>
      <c r="U32" s="35">
        <v>637</v>
      </c>
      <c r="V32" s="35">
        <v>1086</v>
      </c>
      <c r="W32" s="35">
        <v>9524</v>
      </c>
      <c r="X32" s="35">
        <v>18893</v>
      </c>
      <c r="Y32" s="35">
        <v>2676</v>
      </c>
      <c r="Z32" s="35">
        <v>431</v>
      </c>
      <c r="AA32" s="35">
        <v>21137</v>
      </c>
      <c r="AB32" s="35">
        <v>2906</v>
      </c>
      <c r="AC32" s="35">
        <v>72744</v>
      </c>
    </row>
    <row r="33" spans="1:29" x14ac:dyDescent="0.3">
      <c r="A33" s="34" t="s">
        <v>30</v>
      </c>
      <c r="B33" s="35">
        <v>2762</v>
      </c>
      <c r="C33" s="35">
        <v>407</v>
      </c>
      <c r="D33" s="35">
        <v>706</v>
      </c>
      <c r="E33" s="35">
        <v>36</v>
      </c>
      <c r="F33" s="35">
        <v>3912</v>
      </c>
      <c r="G33" s="35">
        <v>1101</v>
      </c>
      <c r="H33" s="35">
        <v>5013</v>
      </c>
      <c r="I33" s="35">
        <v>2799</v>
      </c>
      <c r="J33" s="35">
        <v>305</v>
      </c>
      <c r="K33" s="35">
        <v>916</v>
      </c>
      <c r="L33" s="35">
        <v>4020</v>
      </c>
      <c r="M33" s="35">
        <v>5121</v>
      </c>
      <c r="N33" s="35">
        <v>1201</v>
      </c>
      <c r="O33" s="35">
        <v>68</v>
      </c>
      <c r="P33" s="35">
        <v>474</v>
      </c>
      <c r="Q33" s="35">
        <v>11</v>
      </c>
      <c r="R33" s="35">
        <v>181</v>
      </c>
      <c r="S33" s="35">
        <v>1341</v>
      </c>
      <c r="T33" s="35">
        <v>2171</v>
      </c>
      <c r="U33" s="35">
        <v>444</v>
      </c>
      <c r="V33" s="35">
        <v>758</v>
      </c>
      <c r="W33" s="35">
        <v>6649</v>
      </c>
      <c r="X33" s="35">
        <v>15682</v>
      </c>
      <c r="Y33" s="35">
        <v>2221</v>
      </c>
      <c r="Z33" s="35">
        <v>358</v>
      </c>
      <c r="AA33" s="35">
        <v>17545</v>
      </c>
      <c r="AB33" s="35">
        <v>2786</v>
      </c>
      <c r="AC33" s="35">
        <v>62972</v>
      </c>
    </row>
    <row r="34" spans="1:29" s="2" customFormat="1" x14ac:dyDescent="0.3">
      <c r="A34" s="16" t="s">
        <v>407</v>
      </c>
      <c r="B34" s="17">
        <v>11756</v>
      </c>
      <c r="C34" s="17">
        <v>1828</v>
      </c>
      <c r="D34" s="17">
        <v>1628</v>
      </c>
      <c r="E34" s="17">
        <v>141</v>
      </c>
      <c r="F34" s="17">
        <v>15356</v>
      </c>
      <c r="G34" s="17">
        <v>1319</v>
      </c>
      <c r="H34" s="17">
        <v>16674</v>
      </c>
      <c r="I34" s="17">
        <v>13147</v>
      </c>
      <c r="J34" s="17">
        <v>1433</v>
      </c>
      <c r="K34" s="17">
        <v>4304</v>
      </c>
      <c r="L34" s="17">
        <v>18884</v>
      </c>
      <c r="M34" s="17">
        <v>20202</v>
      </c>
      <c r="N34" s="17">
        <v>5644</v>
      </c>
      <c r="O34" s="17">
        <v>320</v>
      </c>
      <c r="P34" s="17">
        <v>2227</v>
      </c>
      <c r="Q34" s="17">
        <v>50</v>
      </c>
      <c r="R34" s="17">
        <v>849</v>
      </c>
      <c r="S34" s="17">
        <v>6297</v>
      </c>
      <c r="T34" s="17">
        <v>10199</v>
      </c>
      <c r="U34" s="17">
        <v>2087</v>
      </c>
      <c r="V34" s="17">
        <v>3561</v>
      </c>
      <c r="W34" s="17">
        <v>31233</v>
      </c>
      <c r="X34" s="17">
        <v>66791</v>
      </c>
      <c r="Y34" s="17">
        <v>9460</v>
      </c>
      <c r="Z34" s="17">
        <v>1525</v>
      </c>
      <c r="AA34" s="17">
        <v>74725</v>
      </c>
      <c r="AB34" s="17">
        <v>11319</v>
      </c>
      <c r="AC34" s="17">
        <f>AVERAGE(AC29:AC33)</f>
        <v>65892.800000000003</v>
      </c>
    </row>
    <row r="35" spans="1:29" x14ac:dyDescent="0.3">
      <c r="A35" s="20" t="s">
        <v>31</v>
      </c>
      <c r="B35" s="21">
        <v>1370</v>
      </c>
      <c r="C35" s="21">
        <v>250</v>
      </c>
      <c r="D35" s="21">
        <v>376</v>
      </c>
      <c r="E35" s="21">
        <v>27</v>
      </c>
      <c r="F35" s="21">
        <v>2024</v>
      </c>
      <c r="G35" s="21">
        <v>126</v>
      </c>
      <c r="H35" s="21">
        <v>2150</v>
      </c>
      <c r="I35" s="21">
        <v>2075</v>
      </c>
      <c r="J35" s="21">
        <v>226</v>
      </c>
      <c r="K35" s="21">
        <v>679</v>
      </c>
      <c r="L35" s="21">
        <v>2981</v>
      </c>
      <c r="M35" s="21">
        <v>3106</v>
      </c>
      <c r="N35" s="21">
        <v>891</v>
      </c>
      <c r="O35" s="21">
        <v>50</v>
      </c>
      <c r="P35" s="21">
        <v>352</v>
      </c>
      <c r="Q35" s="21">
        <v>8</v>
      </c>
      <c r="R35" s="21">
        <v>134</v>
      </c>
      <c r="S35" s="21">
        <v>994</v>
      </c>
      <c r="T35" s="21">
        <v>1610</v>
      </c>
      <c r="U35" s="21">
        <v>330</v>
      </c>
      <c r="V35" s="21">
        <v>562</v>
      </c>
      <c r="W35" s="21">
        <v>4930</v>
      </c>
      <c r="X35" s="21">
        <v>10060</v>
      </c>
      <c r="Y35" s="21">
        <v>1425</v>
      </c>
      <c r="Z35" s="21">
        <v>230</v>
      </c>
      <c r="AA35" s="21">
        <v>11255</v>
      </c>
      <c r="AB35" s="21">
        <v>1308</v>
      </c>
      <c r="AC35" s="21">
        <v>86031</v>
      </c>
    </row>
    <row r="36" spans="1:29" x14ac:dyDescent="0.3">
      <c r="A36" s="20" t="s">
        <v>32</v>
      </c>
      <c r="B36" s="21">
        <v>2067</v>
      </c>
      <c r="C36" s="21">
        <v>502</v>
      </c>
      <c r="D36" s="21">
        <v>514</v>
      </c>
      <c r="E36" s="21">
        <v>95</v>
      </c>
      <c r="F36" s="21">
        <v>3178</v>
      </c>
      <c r="G36" s="21">
        <v>1311</v>
      </c>
      <c r="H36" s="21">
        <v>4489</v>
      </c>
      <c r="I36" s="21">
        <v>13520</v>
      </c>
      <c r="J36" s="21">
        <v>1473</v>
      </c>
      <c r="K36" s="21">
        <v>4426</v>
      </c>
      <c r="L36" s="21">
        <v>19419</v>
      </c>
      <c r="M36" s="21">
        <v>20731</v>
      </c>
      <c r="N36" s="21">
        <v>5803</v>
      </c>
      <c r="O36" s="21">
        <v>329</v>
      </c>
      <c r="P36" s="21">
        <v>2291</v>
      </c>
      <c r="Q36" s="21">
        <v>51</v>
      </c>
      <c r="R36" s="21">
        <v>873</v>
      </c>
      <c r="S36" s="21">
        <v>6475</v>
      </c>
      <c r="T36" s="21">
        <v>10488</v>
      </c>
      <c r="U36" s="21">
        <v>2147</v>
      </c>
      <c r="V36" s="21">
        <v>3661</v>
      </c>
      <c r="W36" s="21">
        <v>32119</v>
      </c>
      <c r="X36" s="21">
        <v>56028</v>
      </c>
      <c r="Y36" s="21">
        <v>7935</v>
      </c>
      <c r="Z36" s="21">
        <v>1279</v>
      </c>
      <c r="AA36" s="21">
        <v>62683</v>
      </c>
      <c r="AB36" s="21">
        <v>4691</v>
      </c>
      <c r="AC36" s="21">
        <v>133613</v>
      </c>
    </row>
    <row r="37" spans="1:29" x14ac:dyDescent="0.3">
      <c r="A37" s="20" t="s">
        <v>33</v>
      </c>
      <c r="B37" s="21">
        <v>1169</v>
      </c>
      <c r="C37" s="21">
        <v>235</v>
      </c>
      <c r="D37" s="21">
        <v>452</v>
      </c>
      <c r="E37" s="21">
        <v>95</v>
      </c>
      <c r="F37" s="21">
        <v>1951</v>
      </c>
      <c r="G37" s="21">
        <v>325</v>
      </c>
      <c r="H37" s="21">
        <v>2276</v>
      </c>
      <c r="I37" s="21">
        <v>1518</v>
      </c>
      <c r="J37" s="21">
        <v>165</v>
      </c>
      <c r="K37" s="21">
        <v>497</v>
      </c>
      <c r="L37" s="21">
        <v>2180</v>
      </c>
      <c r="M37" s="21">
        <v>2505</v>
      </c>
      <c r="N37" s="21">
        <v>651</v>
      </c>
      <c r="O37" s="21">
        <v>37</v>
      </c>
      <c r="P37" s="21">
        <v>257</v>
      </c>
      <c r="Q37" s="21">
        <v>6</v>
      </c>
      <c r="R37" s="21">
        <v>98</v>
      </c>
      <c r="S37" s="21">
        <v>727</v>
      </c>
      <c r="T37" s="21">
        <v>1177</v>
      </c>
      <c r="U37" s="21">
        <v>241</v>
      </c>
      <c r="V37" s="21">
        <v>411</v>
      </c>
      <c r="W37" s="21">
        <v>3605</v>
      </c>
      <c r="X37" s="21">
        <v>8061</v>
      </c>
      <c r="Y37" s="21">
        <v>1142</v>
      </c>
      <c r="Z37" s="21">
        <v>184</v>
      </c>
      <c r="AA37" s="21">
        <v>9019</v>
      </c>
      <c r="AB37" s="21">
        <v>1206</v>
      </c>
      <c r="AC37" s="21">
        <v>74769</v>
      </c>
    </row>
    <row r="38" spans="1:29" x14ac:dyDescent="0.3">
      <c r="A38" s="20" t="s">
        <v>34</v>
      </c>
      <c r="B38" s="21">
        <v>884</v>
      </c>
      <c r="C38" s="21">
        <v>205</v>
      </c>
      <c r="D38" s="21">
        <v>383</v>
      </c>
      <c r="E38" s="21">
        <v>63</v>
      </c>
      <c r="F38" s="21">
        <v>1536</v>
      </c>
      <c r="G38" s="21">
        <v>85</v>
      </c>
      <c r="H38" s="21">
        <v>1621</v>
      </c>
      <c r="I38" s="21">
        <v>1815</v>
      </c>
      <c r="J38" s="21">
        <v>198</v>
      </c>
      <c r="K38" s="21">
        <v>594</v>
      </c>
      <c r="L38" s="21">
        <v>2607</v>
      </c>
      <c r="M38" s="21">
        <v>2692</v>
      </c>
      <c r="N38" s="21">
        <v>779</v>
      </c>
      <c r="O38" s="21">
        <v>44</v>
      </c>
      <c r="P38" s="21">
        <v>308</v>
      </c>
      <c r="Q38" s="21">
        <v>7</v>
      </c>
      <c r="R38" s="21">
        <v>117</v>
      </c>
      <c r="S38" s="21">
        <v>869</v>
      </c>
      <c r="T38" s="21">
        <v>1408</v>
      </c>
      <c r="U38" s="21">
        <v>288</v>
      </c>
      <c r="V38" s="21">
        <v>491</v>
      </c>
      <c r="W38" s="21">
        <v>4311</v>
      </c>
      <c r="X38" s="21">
        <v>8539</v>
      </c>
      <c r="Y38" s="21">
        <v>1209</v>
      </c>
      <c r="Z38" s="21">
        <v>195</v>
      </c>
      <c r="AA38" s="21">
        <v>9553</v>
      </c>
      <c r="AB38" s="21">
        <v>1329</v>
      </c>
      <c r="AC38" s="21">
        <v>71894</v>
      </c>
    </row>
    <row r="39" spans="1:29" x14ac:dyDescent="0.3">
      <c r="A39" s="20" t="s">
        <v>35</v>
      </c>
      <c r="B39" s="21">
        <v>1394</v>
      </c>
      <c r="C39" s="21">
        <v>285</v>
      </c>
      <c r="D39" s="21">
        <v>691</v>
      </c>
      <c r="E39" s="21">
        <v>96</v>
      </c>
      <c r="F39" s="21">
        <v>2467</v>
      </c>
      <c r="G39" s="21">
        <v>2219</v>
      </c>
      <c r="H39" s="21">
        <v>4685</v>
      </c>
      <c r="I39" s="21">
        <v>3215</v>
      </c>
      <c r="J39" s="21">
        <v>350</v>
      </c>
      <c r="K39" s="21">
        <v>1053</v>
      </c>
      <c r="L39" s="21">
        <v>4618</v>
      </c>
      <c r="M39" s="21">
        <v>6836</v>
      </c>
      <c r="N39" s="21">
        <v>1380</v>
      </c>
      <c r="O39" s="21">
        <v>78</v>
      </c>
      <c r="P39" s="21">
        <v>545</v>
      </c>
      <c r="Q39" s="21">
        <v>12</v>
      </c>
      <c r="R39" s="21">
        <v>208</v>
      </c>
      <c r="S39" s="21">
        <v>1540</v>
      </c>
      <c r="T39" s="21">
        <v>2494</v>
      </c>
      <c r="U39" s="21">
        <v>511</v>
      </c>
      <c r="V39" s="21">
        <v>871</v>
      </c>
      <c r="W39" s="21">
        <v>7638</v>
      </c>
      <c r="X39" s="21">
        <v>16940</v>
      </c>
      <c r="Y39" s="21">
        <v>2399</v>
      </c>
      <c r="Z39" s="21">
        <v>387</v>
      </c>
      <c r="AA39" s="21">
        <v>18953</v>
      </c>
      <c r="AB39" s="21">
        <v>2217</v>
      </c>
      <c r="AC39" s="21">
        <v>85475</v>
      </c>
    </row>
    <row r="40" spans="1:29" x14ac:dyDescent="0.3">
      <c r="A40" s="20" t="s">
        <v>36</v>
      </c>
      <c r="B40" s="21">
        <v>537</v>
      </c>
      <c r="C40" s="21">
        <v>204</v>
      </c>
      <c r="D40" s="21">
        <v>1079</v>
      </c>
      <c r="E40" s="21">
        <v>35</v>
      </c>
      <c r="F40" s="21">
        <v>1856</v>
      </c>
      <c r="G40" s="21">
        <v>75</v>
      </c>
      <c r="H40" s="21">
        <v>1931</v>
      </c>
      <c r="I40" s="21">
        <v>1020</v>
      </c>
      <c r="J40" s="21">
        <v>111</v>
      </c>
      <c r="K40" s="21">
        <v>334</v>
      </c>
      <c r="L40" s="21">
        <v>1466</v>
      </c>
      <c r="M40" s="21">
        <v>1541</v>
      </c>
      <c r="N40" s="21">
        <v>438</v>
      </c>
      <c r="O40" s="21">
        <v>25</v>
      </c>
      <c r="P40" s="21">
        <v>173</v>
      </c>
      <c r="Q40" s="21">
        <v>4</v>
      </c>
      <c r="R40" s="21">
        <v>66</v>
      </c>
      <c r="S40" s="21">
        <v>489</v>
      </c>
      <c r="T40" s="21">
        <v>792</v>
      </c>
      <c r="U40" s="21">
        <v>162</v>
      </c>
      <c r="V40" s="21">
        <v>276</v>
      </c>
      <c r="W40" s="21">
        <v>2424</v>
      </c>
      <c r="X40" s="21">
        <v>5821</v>
      </c>
      <c r="Y40" s="21">
        <v>824</v>
      </c>
      <c r="Z40" s="21">
        <v>133</v>
      </c>
      <c r="AA40" s="21">
        <v>6513</v>
      </c>
      <c r="AB40" s="21">
        <v>1078</v>
      </c>
      <c r="AC40" s="21">
        <v>60440</v>
      </c>
    </row>
    <row r="41" spans="1:29" s="2" customFormat="1" x14ac:dyDescent="0.3">
      <c r="A41" s="23" t="s">
        <v>402</v>
      </c>
      <c r="B41" s="24">
        <v>7421</v>
      </c>
      <c r="C41" s="24">
        <v>1681</v>
      </c>
      <c r="D41" s="24">
        <v>3495</v>
      </c>
      <c r="E41" s="24">
        <v>411</v>
      </c>
      <c r="F41" s="24">
        <v>13012</v>
      </c>
      <c r="G41" s="24">
        <v>4141</v>
      </c>
      <c r="H41" s="24">
        <v>17152</v>
      </c>
      <c r="I41" s="24">
        <v>23163</v>
      </c>
      <c r="J41" s="24">
        <v>2523</v>
      </c>
      <c r="K41" s="24">
        <v>7583</v>
      </c>
      <c r="L41" s="24">
        <v>33271</v>
      </c>
      <c r="M41" s="24">
        <v>37411</v>
      </c>
      <c r="N41" s="24">
        <v>9942</v>
      </c>
      <c r="O41" s="24">
        <v>563</v>
      </c>
      <c r="P41" s="24">
        <v>3926</v>
      </c>
      <c r="Q41" s="24">
        <v>88</v>
      </c>
      <c r="R41" s="24">
        <v>1496</v>
      </c>
      <c r="S41" s="24">
        <v>11094</v>
      </c>
      <c r="T41" s="24">
        <v>17969</v>
      </c>
      <c r="U41" s="24">
        <v>3679</v>
      </c>
      <c r="V41" s="24">
        <v>6272</v>
      </c>
      <c r="W41" s="24">
        <v>55027</v>
      </c>
      <c r="X41" s="24">
        <v>105449</v>
      </c>
      <c r="Y41" s="24">
        <v>14934</v>
      </c>
      <c r="Z41" s="24">
        <v>2408</v>
      </c>
      <c r="AA41" s="24">
        <v>117976</v>
      </c>
      <c r="AB41" s="24">
        <v>11829</v>
      </c>
      <c r="AC41" s="24">
        <f>AVERAGE(AC35:AC40)</f>
        <v>85370.333333333328</v>
      </c>
    </row>
    <row r="42" spans="1:29" s="2" customFormat="1" x14ac:dyDescent="0.3">
      <c r="A42" s="25" t="s">
        <v>406</v>
      </c>
      <c r="B42" s="26">
        <v>101928</v>
      </c>
      <c r="C42" s="26">
        <v>28555</v>
      </c>
      <c r="D42" s="26">
        <v>16601</v>
      </c>
      <c r="E42" s="26">
        <v>2938</v>
      </c>
      <c r="F42" s="26">
        <v>150030</v>
      </c>
      <c r="G42" s="26">
        <v>56491</v>
      </c>
      <c r="H42" s="26">
        <v>206521</v>
      </c>
      <c r="I42" s="26">
        <v>246032</v>
      </c>
      <c r="J42" s="26">
        <v>26806</v>
      </c>
      <c r="K42" s="26">
        <v>80551</v>
      </c>
      <c r="L42" s="26">
        <v>353392</v>
      </c>
      <c r="M42" s="26">
        <v>409880</v>
      </c>
      <c r="N42" s="26">
        <v>105611</v>
      </c>
      <c r="O42" s="26">
        <v>5990</v>
      </c>
      <c r="P42" s="26">
        <v>41697</v>
      </c>
      <c r="Q42" s="26">
        <v>925</v>
      </c>
      <c r="R42" s="26">
        <v>15891</v>
      </c>
      <c r="S42" s="26">
        <v>117836</v>
      </c>
      <c r="T42" s="26">
        <v>190872</v>
      </c>
      <c r="U42" s="26">
        <v>39067</v>
      </c>
      <c r="V42" s="26">
        <v>66626</v>
      </c>
      <c r="W42" s="26">
        <v>584508</v>
      </c>
      <c r="X42" s="26">
        <v>1144419</v>
      </c>
      <c r="Y42" s="26">
        <v>162085</v>
      </c>
      <c r="Z42" s="26">
        <v>26135</v>
      </c>
      <c r="AA42" s="26">
        <v>1280366</v>
      </c>
      <c r="AB42" s="26">
        <v>113112</v>
      </c>
      <c r="AC42" s="26">
        <f>AVERAGE(AC41,AC34,AC28,AC13,AC7,AC19)</f>
        <v>92902.29305555555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2"/>
  <sheetViews>
    <sheetView tabSelected="1" zoomScale="122" zoomScaleNormal="122" workbookViewId="0">
      <selection activeCell="J12" sqref="J12"/>
    </sheetView>
  </sheetViews>
  <sheetFormatPr defaultRowHeight="14.4" x14ac:dyDescent="0.3"/>
  <cols>
    <col min="1" max="1" width="22.33203125" bestFit="1" customWidth="1"/>
    <col min="2" max="2" width="7.21875" bestFit="1" customWidth="1"/>
    <col min="3" max="3" width="7.88671875" customWidth="1"/>
    <col min="4" max="4" width="13.88671875" bestFit="1" customWidth="1"/>
    <col min="5" max="5" width="15.33203125" bestFit="1" customWidth="1"/>
    <col min="6" max="6" width="19.33203125" bestFit="1" customWidth="1"/>
    <col min="7" max="7" width="13.109375" bestFit="1" customWidth="1"/>
    <col min="8" max="8" width="9.44140625" bestFit="1" customWidth="1"/>
    <col min="9" max="9" width="9.77734375" bestFit="1" customWidth="1"/>
    <col min="10" max="10" width="33.6640625" bestFit="1" customWidth="1"/>
    <col min="11" max="11" width="8.6640625" bestFit="1" customWidth="1"/>
    <col min="12" max="12" width="11.33203125" bestFit="1" customWidth="1"/>
    <col min="13" max="13" width="7" bestFit="1" customWidth="1"/>
    <col min="14" max="14" width="22.88671875" bestFit="1" customWidth="1"/>
    <col min="15" max="15" width="6.21875" bestFit="1" customWidth="1"/>
    <col min="16" max="16" width="25.6640625" bestFit="1" customWidth="1"/>
    <col min="17" max="17" width="5.44140625" bestFit="1" customWidth="1"/>
    <col min="18" max="18" width="23.5546875" bestFit="1" customWidth="1"/>
    <col min="19" max="19" width="11.5546875" bestFit="1" customWidth="1"/>
    <col min="20" max="20" width="29.21875" bestFit="1" customWidth="1"/>
    <col min="21" max="21" width="20.6640625" bestFit="1" customWidth="1"/>
    <col min="22" max="22" width="9.5546875" bestFit="1" customWidth="1"/>
    <col min="23" max="23" width="15.5546875" bestFit="1" customWidth="1"/>
    <col min="24" max="24" width="8" bestFit="1" customWidth="1"/>
    <col min="25" max="25" width="11.88671875" bestFit="1" customWidth="1"/>
    <col min="26" max="26" width="17.44140625" bestFit="1" customWidth="1"/>
    <col min="27" max="27" width="8" bestFit="1" customWidth="1"/>
    <col min="28" max="28" width="10.77734375" bestFit="1" customWidth="1"/>
    <col min="29" max="29" width="23.5546875" bestFit="1" customWidth="1"/>
  </cols>
  <sheetData>
    <row r="1" spans="1:29" x14ac:dyDescent="0.3">
      <c r="A1" s="37" t="s">
        <v>0</v>
      </c>
      <c r="B1" s="37" t="s">
        <v>1</v>
      </c>
      <c r="C1" s="37" t="s">
        <v>2</v>
      </c>
      <c r="D1" s="37" t="s">
        <v>382</v>
      </c>
      <c r="E1" s="37" t="s">
        <v>383</v>
      </c>
      <c r="F1" s="37" t="s">
        <v>384</v>
      </c>
      <c r="G1" s="37" t="s">
        <v>385</v>
      </c>
      <c r="H1" s="37" t="s">
        <v>386</v>
      </c>
      <c r="I1" s="37" t="s">
        <v>3</v>
      </c>
      <c r="J1" s="37" t="s">
        <v>387</v>
      </c>
      <c r="K1" s="37" t="s">
        <v>4</v>
      </c>
      <c r="L1" s="37" t="s">
        <v>388</v>
      </c>
      <c r="M1" s="37" t="s">
        <v>389</v>
      </c>
      <c r="N1" s="37" t="s">
        <v>410</v>
      </c>
      <c r="O1" s="38" t="s">
        <v>37</v>
      </c>
      <c r="P1" s="39" t="s">
        <v>411</v>
      </c>
      <c r="Q1" s="37" t="s">
        <v>38</v>
      </c>
      <c r="R1" s="37" t="s">
        <v>390</v>
      </c>
      <c r="S1" s="37" t="s">
        <v>391</v>
      </c>
      <c r="T1" s="37" t="s">
        <v>392</v>
      </c>
      <c r="U1" s="38" t="s">
        <v>393</v>
      </c>
      <c r="V1" s="37" t="s">
        <v>394</v>
      </c>
      <c r="W1" s="37" t="s">
        <v>395</v>
      </c>
      <c r="X1" s="37" t="s">
        <v>396</v>
      </c>
      <c r="Y1" s="39" t="s">
        <v>397</v>
      </c>
      <c r="Z1" s="37" t="s">
        <v>398</v>
      </c>
      <c r="AA1" s="37" t="s">
        <v>399</v>
      </c>
      <c r="AB1" s="37" t="s">
        <v>400</v>
      </c>
      <c r="AC1" s="37" t="s">
        <v>401</v>
      </c>
    </row>
    <row r="2" spans="1:29" x14ac:dyDescent="0.3">
      <c r="A2" s="4" t="s">
        <v>409</v>
      </c>
      <c r="B2" s="5">
        <v>1</v>
      </c>
      <c r="C2" s="5">
        <v>294</v>
      </c>
      <c r="D2" s="5">
        <v>90</v>
      </c>
      <c r="E2" s="5">
        <v>913</v>
      </c>
      <c r="F2" s="5">
        <v>1299</v>
      </c>
      <c r="G2" s="5">
        <v>35100</v>
      </c>
      <c r="H2" s="5">
        <v>36398</v>
      </c>
      <c r="I2" s="5">
        <v>56520</v>
      </c>
      <c r="J2" s="5">
        <v>5862</v>
      </c>
      <c r="K2" s="5">
        <v>16826</v>
      </c>
      <c r="L2" s="5">
        <v>79208</v>
      </c>
      <c r="M2" s="5">
        <v>114308</v>
      </c>
      <c r="N2" s="5">
        <v>25610</v>
      </c>
      <c r="O2" s="5">
        <v>1301</v>
      </c>
      <c r="P2" s="5">
        <v>9886</v>
      </c>
      <c r="Q2" s="5">
        <v>204</v>
      </c>
      <c r="R2" s="5">
        <v>3610</v>
      </c>
      <c r="S2" s="5">
        <v>25870</v>
      </c>
      <c r="T2" s="5">
        <v>44998</v>
      </c>
      <c r="U2" s="5">
        <v>8692</v>
      </c>
      <c r="V2" s="5">
        <v>15695</v>
      </c>
      <c r="W2" s="5">
        <v>135867</v>
      </c>
      <c r="X2" s="5">
        <v>251473</v>
      </c>
      <c r="Y2" s="5">
        <v>38507</v>
      </c>
      <c r="Z2" s="5">
        <v>6547</v>
      </c>
      <c r="AA2" s="5">
        <v>283433</v>
      </c>
      <c r="AB2" s="5">
        <v>12789</v>
      </c>
      <c r="AC2" s="5">
        <v>221618</v>
      </c>
    </row>
    <row r="3" spans="1:29" x14ac:dyDescent="0.3">
      <c r="A3" s="4" t="s">
        <v>381</v>
      </c>
      <c r="B3" s="5">
        <v>2955</v>
      </c>
      <c r="C3" s="5">
        <v>701</v>
      </c>
      <c r="D3" s="5">
        <v>1271</v>
      </c>
      <c r="E3" s="5">
        <v>677</v>
      </c>
      <c r="F3" s="5">
        <v>5603</v>
      </c>
      <c r="G3" s="5">
        <v>2166</v>
      </c>
      <c r="H3" s="5">
        <v>7769</v>
      </c>
      <c r="I3" s="5">
        <v>46891</v>
      </c>
      <c r="J3" s="5">
        <v>4863</v>
      </c>
      <c r="K3" s="5">
        <v>13960</v>
      </c>
      <c r="L3" s="5">
        <v>65714</v>
      </c>
      <c r="M3" s="5">
        <v>67880</v>
      </c>
      <c r="N3" s="5">
        <v>21247</v>
      </c>
      <c r="O3" s="5">
        <v>1079</v>
      </c>
      <c r="P3" s="5">
        <v>8202</v>
      </c>
      <c r="Q3" s="5">
        <v>169</v>
      </c>
      <c r="R3" s="5">
        <v>2995</v>
      </c>
      <c r="S3" s="5">
        <v>21463</v>
      </c>
      <c r="T3" s="5">
        <v>37332</v>
      </c>
      <c r="U3" s="5">
        <v>7211</v>
      </c>
      <c r="V3" s="5">
        <v>13021</v>
      </c>
      <c r="W3" s="5">
        <v>112720</v>
      </c>
      <c r="X3" s="5">
        <v>186203</v>
      </c>
      <c r="Y3" s="5">
        <v>28512</v>
      </c>
      <c r="Z3" s="5">
        <v>4848</v>
      </c>
      <c r="AA3" s="5">
        <v>209868</v>
      </c>
      <c r="AB3" s="5">
        <v>11322</v>
      </c>
      <c r="AC3" s="5">
        <v>185361</v>
      </c>
    </row>
    <row r="4" spans="1:29" x14ac:dyDescent="0.3">
      <c r="A4" s="4" t="s">
        <v>39</v>
      </c>
      <c r="B4" s="5">
        <v>1409</v>
      </c>
      <c r="C4" s="5">
        <v>238</v>
      </c>
      <c r="D4" s="5">
        <v>1009</v>
      </c>
      <c r="E4" s="5">
        <v>201</v>
      </c>
      <c r="F4" s="5">
        <v>2858</v>
      </c>
      <c r="G4" s="5">
        <v>8334</v>
      </c>
      <c r="H4" s="5">
        <v>11192</v>
      </c>
      <c r="I4" s="5">
        <v>5909</v>
      </c>
      <c r="J4" s="5">
        <v>613</v>
      </c>
      <c r="K4" s="5">
        <v>1759</v>
      </c>
      <c r="L4" s="5">
        <v>8282</v>
      </c>
      <c r="M4" s="5">
        <v>16615</v>
      </c>
      <c r="N4" s="5">
        <v>2678</v>
      </c>
      <c r="O4" s="5">
        <v>136</v>
      </c>
      <c r="P4" s="5">
        <v>1034</v>
      </c>
      <c r="Q4" s="5">
        <v>21</v>
      </c>
      <c r="R4" s="5">
        <v>377</v>
      </c>
      <c r="S4" s="5">
        <v>2705</v>
      </c>
      <c r="T4" s="5">
        <v>4705</v>
      </c>
      <c r="U4" s="5">
        <v>909</v>
      </c>
      <c r="V4" s="5">
        <v>1641</v>
      </c>
      <c r="W4" s="5">
        <v>14205</v>
      </c>
      <c r="X4" s="5">
        <v>33679</v>
      </c>
      <c r="Y4" s="5">
        <v>5157</v>
      </c>
      <c r="Z4" s="5">
        <v>877</v>
      </c>
      <c r="AA4" s="5">
        <v>37959</v>
      </c>
      <c r="AB4" s="5">
        <v>2677</v>
      </c>
      <c r="AC4" s="5">
        <v>141780</v>
      </c>
    </row>
    <row r="5" spans="1:29" x14ac:dyDescent="0.3">
      <c r="A5" s="4" t="s">
        <v>40</v>
      </c>
      <c r="B5" s="5">
        <v>2668</v>
      </c>
      <c r="C5" s="5">
        <v>262</v>
      </c>
      <c r="D5" s="5">
        <v>411</v>
      </c>
      <c r="E5" s="5">
        <v>358</v>
      </c>
      <c r="F5" s="5">
        <v>3699</v>
      </c>
      <c r="G5" s="5">
        <v>278</v>
      </c>
      <c r="H5" s="5">
        <v>3977</v>
      </c>
      <c r="I5" s="5">
        <v>3088</v>
      </c>
      <c r="J5" s="5">
        <v>320</v>
      </c>
      <c r="K5" s="5">
        <v>919</v>
      </c>
      <c r="L5" s="5">
        <v>4328</v>
      </c>
      <c r="M5" s="5">
        <v>4605</v>
      </c>
      <c r="N5" s="5">
        <v>1399</v>
      </c>
      <c r="O5" s="5">
        <v>71</v>
      </c>
      <c r="P5" s="5">
        <v>540</v>
      </c>
      <c r="Q5" s="5">
        <v>11</v>
      </c>
      <c r="R5" s="5">
        <v>197</v>
      </c>
      <c r="S5" s="5">
        <v>1413</v>
      </c>
      <c r="T5" s="5">
        <v>2459</v>
      </c>
      <c r="U5" s="5">
        <v>475</v>
      </c>
      <c r="V5" s="5">
        <v>858</v>
      </c>
      <c r="W5" s="5">
        <v>7423</v>
      </c>
      <c r="X5" s="5">
        <v>15728</v>
      </c>
      <c r="Y5" s="5">
        <v>2408</v>
      </c>
      <c r="Z5" s="5">
        <v>409</v>
      </c>
      <c r="AA5" s="5">
        <v>17726</v>
      </c>
      <c r="AB5" s="5">
        <v>1635</v>
      </c>
      <c r="AC5" s="5">
        <v>108387</v>
      </c>
    </row>
    <row r="6" spans="1:29" x14ac:dyDescent="0.3">
      <c r="A6" s="4" t="s">
        <v>41</v>
      </c>
      <c r="B6" s="5">
        <v>2044</v>
      </c>
      <c r="C6" s="5">
        <v>169</v>
      </c>
      <c r="D6" s="5">
        <v>1039</v>
      </c>
      <c r="E6" s="5">
        <v>189</v>
      </c>
      <c r="F6" s="5">
        <v>3442</v>
      </c>
      <c r="G6" s="5">
        <v>310</v>
      </c>
      <c r="H6" s="5">
        <v>3752</v>
      </c>
      <c r="I6" s="5">
        <v>1419</v>
      </c>
      <c r="J6" s="5">
        <v>147</v>
      </c>
      <c r="K6" s="5">
        <v>423</v>
      </c>
      <c r="L6" s="5">
        <v>1989</v>
      </c>
      <c r="M6" s="5">
        <v>2299</v>
      </c>
      <c r="N6" s="5">
        <v>643</v>
      </c>
      <c r="O6" s="5">
        <v>33</v>
      </c>
      <c r="P6" s="5">
        <v>248</v>
      </c>
      <c r="Q6" s="5">
        <v>5</v>
      </c>
      <c r="R6" s="5">
        <v>91</v>
      </c>
      <c r="S6" s="5">
        <v>650</v>
      </c>
      <c r="T6" s="5">
        <v>1130</v>
      </c>
      <c r="U6" s="5">
        <v>218</v>
      </c>
      <c r="V6" s="5">
        <v>394</v>
      </c>
      <c r="W6" s="5">
        <v>3412</v>
      </c>
      <c r="X6" s="5">
        <v>9153</v>
      </c>
      <c r="Y6" s="5">
        <v>1402</v>
      </c>
      <c r="Z6" s="5">
        <v>238</v>
      </c>
      <c r="AA6" s="5">
        <v>10316</v>
      </c>
      <c r="AB6" s="5">
        <v>860</v>
      </c>
      <c r="AC6" s="5">
        <v>119984</v>
      </c>
    </row>
    <row r="7" spans="1:29" s="2" customFormat="1" x14ac:dyDescent="0.3">
      <c r="A7" s="18" t="s">
        <v>405</v>
      </c>
      <c r="B7" s="19">
        <v>9077</v>
      </c>
      <c r="C7" s="19">
        <v>1664</v>
      </c>
      <c r="D7" s="19">
        <v>3820</v>
      </c>
      <c r="E7" s="19">
        <v>2338</v>
      </c>
      <c r="F7" s="19">
        <v>16901</v>
      </c>
      <c r="G7" s="19">
        <v>46188</v>
      </c>
      <c r="H7" s="19">
        <v>63088</v>
      </c>
      <c r="I7" s="19">
        <v>113827</v>
      </c>
      <c r="J7" s="19">
        <v>11805</v>
      </c>
      <c r="K7" s="19">
        <v>33887</v>
      </c>
      <c r="L7" s="19">
        <v>159521</v>
      </c>
      <c r="M7" s="19">
        <v>205707</v>
      </c>
      <c r="N7" s="19">
        <v>51577</v>
      </c>
      <c r="O7" s="19">
        <v>2620</v>
      </c>
      <c r="P7" s="19">
        <v>19910</v>
      </c>
      <c r="Q7" s="19">
        <v>410</v>
      </c>
      <c r="R7" s="19">
        <v>7270</v>
      </c>
      <c r="S7" s="19">
        <v>52101</v>
      </c>
      <c r="T7" s="19">
        <v>90624</v>
      </c>
      <c r="U7" s="19">
        <v>17505</v>
      </c>
      <c r="V7" s="19">
        <v>31609</v>
      </c>
      <c r="W7" s="19">
        <v>273627</v>
      </c>
      <c r="X7" s="19">
        <v>496236</v>
      </c>
      <c r="Y7" s="19">
        <v>75986</v>
      </c>
      <c r="Z7" s="19">
        <v>12919</v>
      </c>
      <c r="AA7" s="19">
        <v>559302</v>
      </c>
      <c r="AB7" s="19">
        <v>29283</v>
      </c>
      <c r="AC7" s="19">
        <f>AVERAGE(AC2:AC6)</f>
        <v>155426</v>
      </c>
    </row>
    <row r="8" spans="1:29" x14ac:dyDescent="0.3">
      <c r="A8" s="27" t="s">
        <v>42</v>
      </c>
      <c r="B8" s="28">
        <v>11921</v>
      </c>
      <c r="C8" s="28">
        <v>1798</v>
      </c>
      <c r="D8" s="28">
        <v>535</v>
      </c>
      <c r="E8" s="28">
        <v>31</v>
      </c>
      <c r="F8" s="28">
        <v>14284</v>
      </c>
      <c r="G8" s="28">
        <v>1102</v>
      </c>
      <c r="H8" s="28">
        <v>15386</v>
      </c>
      <c r="I8" s="28">
        <v>13428</v>
      </c>
      <c r="J8" s="28">
        <v>1393</v>
      </c>
      <c r="K8" s="28">
        <v>3997</v>
      </c>
      <c r="L8" s="28">
        <v>18817</v>
      </c>
      <c r="M8" s="28">
        <v>19919</v>
      </c>
      <c r="N8" s="28">
        <v>6084</v>
      </c>
      <c r="O8" s="28">
        <v>309</v>
      </c>
      <c r="P8" s="28">
        <v>2349</v>
      </c>
      <c r="Q8" s="28">
        <v>49</v>
      </c>
      <c r="R8" s="28">
        <v>858</v>
      </c>
      <c r="S8" s="28">
        <v>6146</v>
      </c>
      <c r="T8" s="28">
        <v>10690</v>
      </c>
      <c r="U8" s="28">
        <v>2065</v>
      </c>
      <c r="V8" s="28">
        <v>3729</v>
      </c>
      <c r="W8" s="28">
        <v>32278</v>
      </c>
      <c r="X8" s="28">
        <v>66481</v>
      </c>
      <c r="Y8" s="28">
        <v>10180</v>
      </c>
      <c r="Z8" s="28">
        <v>1731</v>
      </c>
      <c r="AA8" s="28">
        <v>74930</v>
      </c>
      <c r="AB8" s="28">
        <v>6214</v>
      </c>
      <c r="AC8" s="28">
        <v>120592</v>
      </c>
    </row>
    <row r="9" spans="1:29" x14ac:dyDescent="0.3">
      <c r="A9" s="27" t="s">
        <v>43</v>
      </c>
      <c r="B9" s="28">
        <v>2838</v>
      </c>
      <c r="C9" s="28">
        <v>567</v>
      </c>
      <c r="D9" s="28">
        <v>212</v>
      </c>
      <c r="E9" s="28">
        <v>15</v>
      </c>
      <c r="F9" s="28">
        <v>3633</v>
      </c>
      <c r="G9" s="28">
        <v>305</v>
      </c>
      <c r="H9" s="28">
        <v>3937</v>
      </c>
      <c r="I9" s="28">
        <v>3277</v>
      </c>
      <c r="J9" s="28">
        <v>340</v>
      </c>
      <c r="K9" s="28">
        <v>976</v>
      </c>
      <c r="L9" s="28">
        <v>4593</v>
      </c>
      <c r="M9" s="28">
        <v>4897</v>
      </c>
      <c r="N9" s="28">
        <v>1485</v>
      </c>
      <c r="O9" s="28">
        <v>75</v>
      </c>
      <c r="P9" s="28">
        <v>573</v>
      </c>
      <c r="Q9" s="28">
        <v>12</v>
      </c>
      <c r="R9" s="28">
        <v>209</v>
      </c>
      <c r="S9" s="28">
        <v>1500</v>
      </c>
      <c r="T9" s="28">
        <v>2609</v>
      </c>
      <c r="U9" s="28">
        <v>504</v>
      </c>
      <c r="V9" s="28">
        <v>910</v>
      </c>
      <c r="W9" s="28">
        <v>7878</v>
      </c>
      <c r="X9" s="28">
        <v>16408</v>
      </c>
      <c r="Y9" s="28">
        <v>2512</v>
      </c>
      <c r="Z9" s="28">
        <v>427</v>
      </c>
      <c r="AA9" s="28">
        <v>18493</v>
      </c>
      <c r="AB9" s="28">
        <v>2081</v>
      </c>
      <c r="AC9" s="28">
        <v>88863</v>
      </c>
    </row>
    <row r="10" spans="1:29" x14ac:dyDescent="0.3">
      <c r="A10" s="27" t="s">
        <v>44</v>
      </c>
      <c r="B10" s="28">
        <v>1683</v>
      </c>
      <c r="C10" s="28">
        <v>660</v>
      </c>
      <c r="D10" s="28">
        <v>181</v>
      </c>
      <c r="E10" s="28">
        <v>7</v>
      </c>
      <c r="F10" s="28">
        <v>2532</v>
      </c>
      <c r="G10" s="28">
        <v>214</v>
      </c>
      <c r="H10" s="28">
        <v>2746</v>
      </c>
      <c r="I10" s="28">
        <v>1642</v>
      </c>
      <c r="J10" s="28">
        <v>170</v>
      </c>
      <c r="K10" s="28">
        <v>489</v>
      </c>
      <c r="L10" s="28">
        <v>2302</v>
      </c>
      <c r="M10" s="28">
        <v>2516</v>
      </c>
      <c r="N10" s="28">
        <v>744</v>
      </c>
      <c r="O10" s="28">
        <v>38</v>
      </c>
      <c r="P10" s="28">
        <v>287</v>
      </c>
      <c r="Q10" s="28">
        <v>6</v>
      </c>
      <c r="R10" s="28">
        <v>105</v>
      </c>
      <c r="S10" s="28">
        <v>752</v>
      </c>
      <c r="T10" s="28">
        <v>1308</v>
      </c>
      <c r="U10" s="28">
        <v>253</v>
      </c>
      <c r="V10" s="28">
        <v>456</v>
      </c>
      <c r="W10" s="28">
        <v>3948</v>
      </c>
      <c r="X10" s="28">
        <v>8996</v>
      </c>
      <c r="Y10" s="28">
        <v>1378</v>
      </c>
      <c r="Z10" s="28">
        <v>234</v>
      </c>
      <c r="AA10" s="28">
        <v>10139</v>
      </c>
      <c r="AB10" s="28">
        <v>1669</v>
      </c>
      <c r="AC10" s="28">
        <v>60743</v>
      </c>
    </row>
    <row r="11" spans="1:29" x14ac:dyDescent="0.3">
      <c r="A11" s="27" t="s">
        <v>45</v>
      </c>
      <c r="B11" s="28">
        <v>4975</v>
      </c>
      <c r="C11" s="28">
        <v>1116</v>
      </c>
      <c r="D11" s="28">
        <v>377</v>
      </c>
      <c r="E11" s="28">
        <v>27</v>
      </c>
      <c r="F11" s="28">
        <v>6496</v>
      </c>
      <c r="G11" s="28">
        <v>366</v>
      </c>
      <c r="H11" s="28">
        <v>6861</v>
      </c>
      <c r="I11" s="28">
        <v>6583</v>
      </c>
      <c r="J11" s="28">
        <v>683</v>
      </c>
      <c r="K11" s="28">
        <v>1960</v>
      </c>
      <c r="L11" s="28">
        <v>9226</v>
      </c>
      <c r="M11" s="28">
        <v>9591</v>
      </c>
      <c r="N11" s="28">
        <v>2983</v>
      </c>
      <c r="O11" s="28">
        <v>151</v>
      </c>
      <c r="P11" s="28">
        <v>1151</v>
      </c>
      <c r="Q11" s="28">
        <v>24</v>
      </c>
      <c r="R11" s="28">
        <v>420</v>
      </c>
      <c r="S11" s="28">
        <v>3013</v>
      </c>
      <c r="T11" s="28">
        <v>5241</v>
      </c>
      <c r="U11" s="28">
        <v>1012</v>
      </c>
      <c r="V11" s="28">
        <v>1828</v>
      </c>
      <c r="W11" s="28">
        <v>15825</v>
      </c>
      <c r="X11" s="28">
        <v>31912</v>
      </c>
      <c r="Y11" s="28">
        <v>4886</v>
      </c>
      <c r="Z11" s="28">
        <v>831</v>
      </c>
      <c r="AA11" s="28">
        <v>35967</v>
      </c>
      <c r="AB11" s="28">
        <v>4295</v>
      </c>
      <c r="AC11" s="28">
        <v>83737</v>
      </c>
    </row>
    <row r="12" spans="1:29" x14ac:dyDescent="0.3">
      <c r="A12" s="27" t="s">
        <v>380</v>
      </c>
      <c r="B12" s="28">
        <v>5439</v>
      </c>
      <c r="C12" s="28">
        <v>3776</v>
      </c>
      <c r="D12" s="28">
        <v>645</v>
      </c>
      <c r="E12" s="28">
        <v>11</v>
      </c>
      <c r="F12" s="28">
        <v>9871</v>
      </c>
      <c r="G12" s="28">
        <v>587</v>
      </c>
      <c r="H12" s="28">
        <v>10458</v>
      </c>
      <c r="I12" s="28">
        <v>7819</v>
      </c>
      <c r="J12" s="28">
        <v>811</v>
      </c>
      <c r="K12" s="28">
        <v>2328</v>
      </c>
      <c r="L12" s="28">
        <v>10958</v>
      </c>
      <c r="M12" s="28">
        <v>11545</v>
      </c>
      <c r="N12" s="28">
        <v>3543</v>
      </c>
      <c r="O12" s="28">
        <v>180</v>
      </c>
      <c r="P12" s="28">
        <v>1368</v>
      </c>
      <c r="Q12" s="28">
        <v>28</v>
      </c>
      <c r="R12" s="28">
        <v>499</v>
      </c>
      <c r="S12" s="28">
        <v>3579</v>
      </c>
      <c r="T12" s="28">
        <v>6225</v>
      </c>
      <c r="U12" s="28">
        <v>1202</v>
      </c>
      <c r="V12" s="28">
        <v>2171</v>
      </c>
      <c r="W12" s="28">
        <v>18797</v>
      </c>
      <c r="X12" s="28">
        <v>40213</v>
      </c>
      <c r="Y12" s="28">
        <v>6158</v>
      </c>
      <c r="Z12" s="28">
        <v>1047</v>
      </c>
      <c r="AA12" s="28">
        <v>45324</v>
      </c>
      <c r="AB12" s="28">
        <v>4604</v>
      </c>
      <c r="AC12" s="28">
        <v>98452</v>
      </c>
    </row>
    <row r="13" spans="1:29" s="2" customFormat="1" x14ac:dyDescent="0.3">
      <c r="A13" s="7" t="s">
        <v>408</v>
      </c>
      <c r="B13" s="8">
        <v>26856</v>
      </c>
      <c r="C13" s="8">
        <v>7917</v>
      </c>
      <c r="D13" s="8">
        <v>1950</v>
      </c>
      <c r="E13" s="8">
        <v>91</v>
      </c>
      <c r="F13" s="8">
        <v>36816</v>
      </c>
      <c r="G13" s="8">
        <v>2574</v>
      </c>
      <c r="H13" s="8">
        <v>39388</v>
      </c>
      <c r="I13" s="8">
        <v>32749</v>
      </c>
      <c r="J13" s="8">
        <v>3397</v>
      </c>
      <c r="K13" s="8">
        <v>9750</v>
      </c>
      <c r="L13" s="8">
        <v>45896</v>
      </c>
      <c r="M13" s="8">
        <v>48468</v>
      </c>
      <c r="N13" s="8">
        <v>14839</v>
      </c>
      <c r="O13" s="8">
        <v>753</v>
      </c>
      <c r="P13" s="8">
        <v>5728</v>
      </c>
      <c r="Q13" s="8">
        <v>119</v>
      </c>
      <c r="R13" s="8">
        <v>2091</v>
      </c>
      <c r="S13" s="8">
        <v>14990</v>
      </c>
      <c r="T13" s="8">
        <v>26073</v>
      </c>
      <c r="U13" s="8">
        <v>5036</v>
      </c>
      <c r="V13" s="8">
        <v>9094</v>
      </c>
      <c r="W13" s="8">
        <v>78726</v>
      </c>
      <c r="X13" s="8">
        <v>164010</v>
      </c>
      <c r="Y13" s="8">
        <v>25114</v>
      </c>
      <c r="Z13" s="8">
        <v>4270</v>
      </c>
      <c r="AA13" s="8">
        <v>184853</v>
      </c>
      <c r="AB13" s="8">
        <v>18863</v>
      </c>
      <c r="AC13" s="8">
        <f>AVERAGE(AC8:AC12)</f>
        <v>90477.4</v>
      </c>
    </row>
    <row r="14" spans="1:29" x14ac:dyDescent="0.3">
      <c r="A14" s="9" t="s">
        <v>46</v>
      </c>
      <c r="B14" s="10">
        <v>7833</v>
      </c>
      <c r="C14" s="10">
        <v>3580</v>
      </c>
      <c r="D14" s="10">
        <v>955</v>
      </c>
      <c r="E14" s="10">
        <v>222</v>
      </c>
      <c r="F14" s="10">
        <v>12589</v>
      </c>
      <c r="G14" s="10">
        <v>811</v>
      </c>
      <c r="H14" s="10">
        <v>13400</v>
      </c>
      <c r="I14" s="10">
        <v>35588</v>
      </c>
      <c r="J14" s="10">
        <v>3691</v>
      </c>
      <c r="K14" s="10">
        <v>10595</v>
      </c>
      <c r="L14" s="10">
        <v>49873</v>
      </c>
      <c r="M14" s="10">
        <v>50684</v>
      </c>
      <c r="N14" s="10">
        <v>16125</v>
      </c>
      <c r="O14" s="10">
        <v>819</v>
      </c>
      <c r="P14" s="10">
        <v>6225</v>
      </c>
      <c r="Q14" s="10">
        <v>129</v>
      </c>
      <c r="R14" s="10">
        <v>2273</v>
      </c>
      <c r="S14" s="10">
        <v>16289</v>
      </c>
      <c r="T14" s="10">
        <v>28333</v>
      </c>
      <c r="U14" s="10">
        <v>5473</v>
      </c>
      <c r="V14" s="10">
        <v>9882</v>
      </c>
      <c r="W14" s="10">
        <v>85547</v>
      </c>
      <c r="X14" s="10">
        <v>148820</v>
      </c>
      <c r="Y14" s="10">
        <v>22788</v>
      </c>
      <c r="Z14" s="10">
        <v>3875</v>
      </c>
      <c r="AA14" s="10">
        <v>167734</v>
      </c>
      <c r="AB14" s="10">
        <v>9625</v>
      </c>
      <c r="AC14" s="10">
        <v>174264</v>
      </c>
    </row>
    <row r="15" spans="1:29" x14ac:dyDescent="0.3">
      <c r="A15" s="9" t="s">
        <v>47</v>
      </c>
      <c r="B15" s="10">
        <v>3632</v>
      </c>
      <c r="C15" s="10">
        <v>1847</v>
      </c>
      <c r="D15" s="10">
        <v>572</v>
      </c>
      <c r="E15" s="10">
        <v>27</v>
      </c>
      <c r="F15" s="10">
        <v>6077</v>
      </c>
      <c r="G15" s="10">
        <v>49</v>
      </c>
      <c r="H15" s="10">
        <v>6126</v>
      </c>
      <c r="I15" s="10">
        <v>5862</v>
      </c>
      <c r="J15" s="10">
        <v>608</v>
      </c>
      <c r="K15" s="10">
        <v>1745</v>
      </c>
      <c r="L15" s="10">
        <v>8215</v>
      </c>
      <c r="M15" s="10">
        <v>8264</v>
      </c>
      <c r="N15" s="10">
        <v>2656</v>
      </c>
      <c r="O15" s="10">
        <v>135</v>
      </c>
      <c r="P15" s="10">
        <v>1025</v>
      </c>
      <c r="Q15" s="10">
        <v>21</v>
      </c>
      <c r="R15" s="10">
        <v>374</v>
      </c>
      <c r="S15" s="10">
        <v>2683</v>
      </c>
      <c r="T15" s="10">
        <v>4667</v>
      </c>
      <c r="U15" s="10">
        <v>901</v>
      </c>
      <c r="V15" s="10">
        <v>1628</v>
      </c>
      <c r="W15" s="10">
        <v>14091</v>
      </c>
      <c r="X15" s="10">
        <v>28432</v>
      </c>
      <c r="Y15" s="10">
        <v>4354</v>
      </c>
      <c r="Z15" s="10">
        <v>740</v>
      </c>
      <c r="AA15" s="10">
        <v>32046</v>
      </c>
      <c r="AB15" s="10">
        <v>3043</v>
      </c>
      <c r="AC15" s="10">
        <v>105305</v>
      </c>
    </row>
    <row r="16" spans="1:29" x14ac:dyDescent="0.3">
      <c r="A16" s="9" t="s">
        <v>48</v>
      </c>
      <c r="B16" s="10">
        <v>3892</v>
      </c>
      <c r="C16" s="10">
        <v>2256</v>
      </c>
      <c r="D16" s="10">
        <v>885</v>
      </c>
      <c r="E16" s="10">
        <v>23</v>
      </c>
      <c r="F16" s="10">
        <v>7055</v>
      </c>
      <c r="G16" s="10">
        <v>329</v>
      </c>
      <c r="H16" s="10">
        <v>7385</v>
      </c>
      <c r="I16" s="10">
        <v>5482</v>
      </c>
      <c r="J16" s="10">
        <v>568</v>
      </c>
      <c r="K16" s="10">
        <v>1632</v>
      </c>
      <c r="L16" s="10">
        <v>7682</v>
      </c>
      <c r="M16" s="10">
        <v>8011</v>
      </c>
      <c r="N16" s="10">
        <v>2484</v>
      </c>
      <c r="O16" s="10">
        <v>126</v>
      </c>
      <c r="P16" s="10">
        <v>959</v>
      </c>
      <c r="Q16" s="10">
        <v>20</v>
      </c>
      <c r="R16" s="10">
        <v>350</v>
      </c>
      <c r="S16" s="10">
        <v>2509</v>
      </c>
      <c r="T16" s="10">
        <v>4364</v>
      </c>
      <c r="U16" s="10">
        <v>843</v>
      </c>
      <c r="V16" s="10">
        <v>1522</v>
      </c>
      <c r="W16" s="10">
        <v>13177</v>
      </c>
      <c r="X16" s="10">
        <v>28244</v>
      </c>
      <c r="Y16" s="10">
        <v>4325</v>
      </c>
      <c r="Z16" s="10">
        <v>735</v>
      </c>
      <c r="AA16" s="10">
        <v>31833</v>
      </c>
      <c r="AB16" s="10">
        <v>2863</v>
      </c>
      <c r="AC16" s="10">
        <v>111207</v>
      </c>
    </row>
    <row r="17" spans="1:29" x14ac:dyDescent="0.3">
      <c r="A17" s="9" t="s">
        <v>49</v>
      </c>
      <c r="B17" s="10">
        <v>4814</v>
      </c>
      <c r="C17" s="10">
        <v>2628</v>
      </c>
      <c r="D17" s="10">
        <v>623</v>
      </c>
      <c r="E17" s="10">
        <v>22</v>
      </c>
      <c r="F17" s="10">
        <v>8088</v>
      </c>
      <c r="G17" s="10">
        <v>540</v>
      </c>
      <c r="H17" s="10">
        <v>8627</v>
      </c>
      <c r="I17" s="10">
        <v>8936</v>
      </c>
      <c r="J17" s="10">
        <v>927</v>
      </c>
      <c r="K17" s="10">
        <v>2660</v>
      </c>
      <c r="L17" s="10">
        <v>12524</v>
      </c>
      <c r="M17" s="10">
        <v>13064</v>
      </c>
      <c r="N17" s="10">
        <v>4049</v>
      </c>
      <c r="O17" s="10">
        <v>206</v>
      </c>
      <c r="P17" s="10">
        <v>1563</v>
      </c>
      <c r="Q17" s="10">
        <v>32</v>
      </c>
      <c r="R17" s="10">
        <v>571</v>
      </c>
      <c r="S17" s="10">
        <v>4090</v>
      </c>
      <c r="T17" s="10">
        <v>7115</v>
      </c>
      <c r="U17" s="10">
        <v>1374</v>
      </c>
      <c r="V17" s="10">
        <v>2482</v>
      </c>
      <c r="W17" s="10">
        <v>21482</v>
      </c>
      <c r="X17" s="10">
        <v>42633</v>
      </c>
      <c r="Y17" s="10">
        <v>6528</v>
      </c>
      <c r="Z17" s="10">
        <v>1110</v>
      </c>
      <c r="AA17" s="10">
        <v>48051</v>
      </c>
      <c r="AB17" s="10">
        <v>4385</v>
      </c>
      <c r="AC17" s="10">
        <v>109582</v>
      </c>
    </row>
    <row r="18" spans="1:29" x14ac:dyDescent="0.3">
      <c r="A18" s="9" t="s">
        <v>50</v>
      </c>
      <c r="B18" s="10">
        <v>5076</v>
      </c>
      <c r="C18" s="10">
        <v>2890</v>
      </c>
      <c r="D18" s="10">
        <v>610</v>
      </c>
      <c r="E18" s="10">
        <v>27</v>
      </c>
      <c r="F18" s="10">
        <v>8602</v>
      </c>
      <c r="G18" s="10">
        <v>60</v>
      </c>
      <c r="H18" s="10">
        <v>8662</v>
      </c>
      <c r="I18" s="10">
        <v>9895</v>
      </c>
      <c r="J18" s="10">
        <v>1026</v>
      </c>
      <c r="K18" s="10">
        <v>2946</v>
      </c>
      <c r="L18" s="10">
        <v>13867</v>
      </c>
      <c r="M18" s="10">
        <v>13926</v>
      </c>
      <c r="N18" s="10">
        <v>4483</v>
      </c>
      <c r="O18" s="10">
        <v>228</v>
      </c>
      <c r="P18" s="10">
        <v>1731</v>
      </c>
      <c r="Q18" s="10">
        <v>36</v>
      </c>
      <c r="R18" s="10">
        <v>632</v>
      </c>
      <c r="S18" s="10">
        <v>4529</v>
      </c>
      <c r="T18" s="10">
        <v>7878</v>
      </c>
      <c r="U18" s="10">
        <v>1522</v>
      </c>
      <c r="V18" s="10">
        <v>2748</v>
      </c>
      <c r="W18" s="10">
        <v>23786</v>
      </c>
      <c r="X18" s="10">
        <v>46314</v>
      </c>
      <c r="Y18" s="10">
        <v>7092</v>
      </c>
      <c r="Z18" s="10">
        <v>1206</v>
      </c>
      <c r="AA18" s="10">
        <v>52200</v>
      </c>
      <c r="AB18" s="10">
        <v>3936</v>
      </c>
      <c r="AC18" s="10">
        <v>132627</v>
      </c>
    </row>
    <row r="19" spans="1:29" s="2" customFormat="1" x14ac:dyDescent="0.3">
      <c r="A19" s="12" t="s">
        <v>404</v>
      </c>
      <c r="B19" s="13">
        <v>25247</v>
      </c>
      <c r="C19" s="13">
        <v>13201</v>
      </c>
      <c r="D19" s="13">
        <v>3645</v>
      </c>
      <c r="E19" s="13">
        <v>321</v>
      </c>
      <c r="F19" s="13">
        <v>42411</v>
      </c>
      <c r="G19" s="13">
        <v>1789</v>
      </c>
      <c r="H19" s="13">
        <v>44200</v>
      </c>
      <c r="I19" s="13">
        <v>65763</v>
      </c>
      <c r="J19" s="13">
        <v>6820</v>
      </c>
      <c r="K19" s="13">
        <v>19578</v>
      </c>
      <c r="L19" s="13">
        <v>92161</v>
      </c>
      <c r="M19" s="13">
        <v>93949</v>
      </c>
      <c r="N19" s="13">
        <v>29797</v>
      </c>
      <c r="O19" s="13">
        <v>1514</v>
      </c>
      <c r="P19" s="13">
        <v>11503</v>
      </c>
      <c r="Q19" s="13">
        <v>238</v>
      </c>
      <c r="R19" s="13">
        <v>4200</v>
      </c>
      <c r="S19" s="13">
        <v>30100</v>
      </c>
      <c r="T19" s="13">
        <v>52357</v>
      </c>
      <c r="U19" s="13">
        <v>10113</v>
      </c>
      <c r="V19" s="13">
        <v>18262</v>
      </c>
      <c r="W19" s="13">
        <v>158083</v>
      </c>
      <c r="X19" s="13">
        <v>294443</v>
      </c>
      <c r="Y19" s="13">
        <v>45087</v>
      </c>
      <c r="Z19" s="13">
        <v>7666</v>
      </c>
      <c r="AA19" s="13">
        <v>331864</v>
      </c>
      <c r="AB19" s="13">
        <v>23852</v>
      </c>
      <c r="AC19" s="13">
        <f>AVERAGE(AC14:AC18)</f>
        <v>126597</v>
      </c>
    </row>
    <row r="20" spans="1:29" x14ac:dyDescent="0.3">
      <c r="A20" s="31" t="s">
        <v>51</v>
      </c>
      <c r="B20" s="32">
        <v>2271</v>
      </c>
      <c r="C20" s="32">
        <v>1347</v>
      </c>
      <c r="D20" s="32">
        <v>453</v>
      </c>
      <c r="E20" s="32">
        <v>26</v>
      </c>
      <c r="F20" s="32">
        <v>4098</v>
      </c>
      <c r="G20" s="32">
        <v>221</v>
      </c>
      <c r="H20" s="32">
        <v>4319</v>
      </c>
      <c r="I20" s="32">
        <v>7925</v>
      </c>
      <c r="J20" s="32">
        <v>822</v>
      </c>
      <c r="K20" s="32">
        <v>2359</v>
      </c>
      <c r="L20" s="32">
        <v>11107</v>
      </c>
      <c r="M20" s="32">
        <v>11328</v>
      </c>
      <c r="N20" s="32">
        <v>3591</v>
      </c>
      <c r="O20" s="32">
        <v>182</v>
      </c>
      <c r="P20" s="32">
        <v>1386</v>
      </c>
      <c r="Q20" s="32">
        <v>29</v>
      </c>
      <c r="R20" s="32">
        <v>506</v>
      </c>
      <c r="S20" s="32">
        <v>3628</v>
      </c>
      <c r="T20" s="32">
        <v>6310</v>
      </c>
      <c r="U20" s="32">
        <v>1219</v>
      </c>
      <c r="V20" s="32">
        <v>2201</v>
      </c>
      <c r="W20" s="32">
        <v>19052</v>
      </c>
      <c r="X20" s="32">
        <v>34477</v>
      </c>
      <c r="Y20" s="32">
        <v>5279</v>
      </c>
      <c r="Z20" s="32">
        <v>898</v>
      </c>
      <c r="AA20" s="32">
        <v>38858</v>
      </c>
      <c r="AB20" s="32">
        <v>3767</v>
      </c>
      <c r="AC20" s="32">
        <v>103167</v>
      </c>
    </row>
    <row r="21" spans="1:29" x14ac:dyDescent="0.3">
      <c r="A21" s="31" t="s">
        <v>52</v>
      </c>
      <c r="B21" s="32">
        <v>2754</v>
      </c>
      <c r="C21" s="32">
        <v>493</v>
      </c>
      <c r="D21" s="32">
        <v>552</v>
      </c>
      <c r="E21" s="32">
        <v>6</v>
      </c>
      <c r="F21" s="32">
        <v>3806</v>
      </c>
      <c r="G21" s="32">
        <v>162</v>
      </c>
      <c r="H21" s="32">
        <v>3968</v>
      </c>
      <c r="I21" s="32">
        <v>2539</v>
      </c>
      <c r="J21" s="32">
        <v>263</v>
      </c>
      <c r="K21" s="32">
        <v>756</v>
      </c>
      <c r="L21" s="32">
        <v>3559</v>
      </c>
      <c r="M21" s="32">
        <v>3721</v>
      </c>
      <c r="N21" s="32">
        <v>1151</v>
      </c>
      <c r="O21" s="32">
        <v>58</v>
      </c>
      <c r="P21" s="32">
        <v>444</v>
      </c>
      <c r="Q21" s="32">
        <v>9</v>
      </c>
      <c r="R21" s="32">
        <v>162</v>
      </c>
      <c r="S21" s="32">
        <v>1162</v>
      </c>
      <c r="T21" s="32">
        <v>2022</v>
      </c>
      <c r="U21" s="32">
        <v>391</v>
      </c>
      <c r="V21" s="32">
        <v>705</v>
      </c>
      <c r="W21" s="32">
        <v>6104</v>
      </c>
      <c r="X21" s="32">
        <v>13631</v>
      </c>
      <c r="Y21" s="32">
        <v>2087</v>
      </c>
      <c r="Z21" s="32">
        <v>355</v>
      </c>
      <c r="AA21" s="32">
        <v>15364</v>
      </c>
      <c r="AB21" s="32">
        <v>1985</v>
      </c>
      <c r="AC21" s="32">
        <v>77406</v>
      </c>
    </row>
    <row r="22" spans="1:29" x14ac:dyDescent="0.3">
      <c r="A22" s="31" t="s">
        <v>53</v>
      </c>
      <c r="B22" s="32">
        <v>3378</v>
      </c>
      <c r="C22" s="32">
        <v>471</v>
      </c>
      <c r="D22" s="32">
        <v>165</v>
      </c>
      <c r="E22" s="32">
        <v>11</v>
      </c>
      <c r="F22" s="32">
        <v>4025</v>
      </c>
      <c r="G22" s="32">
        <v>362</v>
      </c>
      <c r="H22" s="32">
        <v>4387</v>
      </c>
      <c r="I22" s="32">
        <v>2516</v>
      </c>
      <c r="J22" s="32">
        <v>261</v>
      </c>
      <c r="K22" s="32">
        <v>749</v>
      </c>
      <c r="L22" s="32">
        <v>3526</v>
      </c>
      <c r="M22" s="32">
        <v>3888</v>
      </c>
      <c r="N22" s="32">
        <v>1140</v>
      </c>
      <c r="O22" s="32">
        <v>58</v>
      </c>
      <c r="P22" s="32">
        <v>440</v>
      </c>
      <c r="Q22" s="32">
        <v>9</v>
      </c>
      <c r="R22" s="32">
        <v>161</v>
      </c>
      <c r="S22" s="32">
        <v>1152</v>
      </c>
      <c r="T22" s="32">
        <v>2003</v>
      </c>
      <c r="U22" s="32">
        <v>387</v>
      </c>
      <c r="V22" s="32">
        <v>699</v>
      </c>
      <c r="W22" s="32">
        <v>6049</v>
      </c>
      <c r="X22" s="32">
        <v>13962</v>
      </c>
      <c r="Y22" s="32">
        <v>2138</v>
      </c>
      <c r="Z22" s="32">
        <v>364</v>
      </c>
      <c r="AA22" s="32">
        <v>15736</v>
      </c>
      <c r="AB22" s="32">
        <v>1864</v>
      </c>
      <c r="AC22" s="32">
        <v>84413</v>
      </c>
    </row>
    <row r="23" spans="1:29" x14ac:dyDescent="0.3">
      <c r="A23" s="31" t="s">
        <v>54</v>
      </c>
      <c r="B23" s="32">
        <v>1906</v>
      </c>
      <c r="C23" s="32">
        <v>327</v>
      </c>
      <c r="D23" s="32">
        <v>120</v>
      </c>
      <c r="E23" s="32">
        <v>9</v>
      </c>
      <c r="F23" s="32">
        <v>2363</v>
      </c>
      <c r="G23" s="32">
        <v>138</v>
      </c>
      <c r="H23" s="32">
        <v>2501</v>
      </c>
      <c r="I23" s="32">
        <v>1206</v>
      </c>
      <c r="J23" s="32">
        <v>125</v>
      </c>
      <c r="K23" s="32">
        <v>359</v>
      </c>
      <c r="L23" s="32">
        <v>1690</v>
      </c>
      <c r="M23" s="32">
        <v>1829</v>
      </c>
      <c r="N23" s="32">
        <v>546</v>
      </c>
      <c r="O23" s="32">
        <v>28</v>
      </c>
      <c r="P23" s="32">
        <v>211</v>
      </c>
      <c r="Q23" s="32">
        <v>4</v>
      </c>
      <c r="R23" s="32">
        <v>77</v>
      </c>
      <c r="S23" s="32">
        <v>552</v>
      </c>
      <c r="T23" s="32">
        <v>960</v>
      </c>
      <c r="U23" s="32">
        <v>185</v>
      </c>
      <c r="V23" s="32">
        <v>335</v>
      </c>
      <c r="W23" s="32">
        <v>2899</v>
      </c>
      <c r="X23" s="32">
        <v>7090</v>
      </c>
      <c r="Y23" s="32">
        <v>1086</v>
      </c>
      <c r="Z23" s="32">
        <v>185</v>
      </c>
      <c r="AA23" s="32">
        <v>7991</v>
      </c>
      <c r="AB23" s="32">
        <v>1192</v>
      </c>
      <c r="AC23" s="32">
        <v>67042</v>
      </c>
    </row>
    <row r="24" spans="1:29" x14ac:dyDescent="0.3">
      <c r="A24" s="31" t="s">
        <v>55</v>
      </c>
      <c r="B24" s="32">
        <v>2135</v>
      </c>
      <c r="C24" s="32">
        <v>1084</v>
      </c>
      <c r="D24" s="32">
        <v>276</v>
      </c>
      <c r="E24" s="32">
        <v>26</v>
      </c>
      <c r="F24" s="32">
        <v>3521</v>
      </c>
      <c r="G24" s="32">
        <v>144</v>
      </c>
      <c r="H24" s="32">
        <v>3664</v>
      </c>
      <c r="I24" s="32">
        <v>3409</v>
      </c>
      <c r="J24" s="32">
        <v>354</v>
      </c>
      <c r="K24" s="32">
        <v>1015</v>
      </c>
      <c r="L24" s="32">
        <v>4777</v>
      </c>
      <c r="M24" s="32">
        <v>4921</v>
      </c>
      <c r="N24" s="32">
        <v>1545</v>
      </c>
      <c r="O24" s="32">
        <v>78</v>
      </c>
      <c r="P24" s="32">
        <v>596</v>
      </c>
      <c r="Q24" s="32">
        <v>12</v>
      </c>
      <c r="R24" s="32">
        <v>218</v>
      </c>
      <c r="S24" s="32">
        <v>1560</v>
      </c>
      <c r="T24" s="32">
        <v>2714</v>
      </c>
      <c r="U24" s="32">
        <v>524</v>
      </c>
      <c r="V24" s="32">
        <v>947</v>
      </c>
      <c r="W24" s="32">
        <v>8194</v>
      </c>
      <c r="X24" s="32">
        <v>16636</v>
      </c>
      <c r="Y24" s="32">
        <v>2547</v>
      </c>
      <c r="Z24" s="32">
        <v>433</v>
      </c>
      <c r="AA24" s="32">
        <v>18750</v>
      </c>
      <c r="AB24" s="32">
        <v>2619</v>
      </c>
      <c r="AC24" s="32">
        <v>71581</v>
      </c>
    </row>
    <row r="25" spans="1:29" x14ac:dyDescent="0.3">
      <c r="A25" s="31" t="s">
        <v>56</v>
      </c>
      <c r="B25" s="32">
        <v>3333</v>
      </c>
      <c r="C25" s="32">
        <v>912</v>
      </c>
      <c r="D25" s="32">
        <v>489</v>
      </c>
      <c r="E25" s="32">
        <v>51</v>
      </c>
      <c r="F25" s="32">
        <v>4785</v>
      </c>
      <c r="G25" s="32">
        <v>956</v>
      </c>
      <c r="H25" s="32">
        <v>5741</v>
      </c>
      <c r="I25" s="32">
        <v>4816</v>
      </c>
      <c r="J25" s="32">
        <v>499</v>
      </c>
      <c r="K25" s="32">
        <v>1434</v>
      </c>
      <c r="L25" s="32">
        <v>6750</v>
      </c>
      <c r="M25" s="32">
        <v>7706</v>
      </c>
      <c r="N25" s="32">
        <v>2182</v>
      </c>
      <c r="O25" s="32">
        <v>111</v>
      </c>
      <c r="P25" s="32">
        <v>842</v>
      </c>
      <c r="Q25" s="32">
        <v>17</v>
      </c>
      <c r="R25" s="32">
        <v>308</v>
      </c>
      <c r="S25" s="32">
        <v>2205</v>
      </c>
      <c r="T25" s="32">
        <v>3835</v>
      </c>
      <c r="U25" s="32">
        <v>741</v>
      </c>
      <c r="V25" s="32">
        <v>1337</v>
      </c>
      <c r="W25" s="32">
        <v>11578</v>
      </c>
      <c r="X25" s="32">
        <v>24069</v>
      </c>
      <c r="Y25" s="32">
        <v>3686</v>
      </c>
      <c r="Z25" s="32">
        <v>627</v>
      </c>
      <c r="AA25" s="32">
        <v>27128</v>
      </c>
      <c r="AB25" s="32">
        <v>3410</v>
      </c>
      <c r="AC25" s="32">
        <v>79544</v>
      </c>
    </row>
    <row r="26" spans="1:29" x14ac:dyDescent="0.3">
      <c r="A26" s="31" t="s">
        <v>57</v>
      </c>
      <c r="B26" s="32">
        <v>2477</v>
      </c>
      <c r="C26" s="32">
        <v>710</v>
      </c>
      <c r="D26" s="32">
        <v>229</v>
      </c>
      <c r="E26" s="32">
        <v>5</v>
      </c>
      <c r="F26" s="32">
        <v>3421</v>
      </c>
      <c r="G26" s="32">
        <v>214</v>
      </c>
      <c r="H26" s="32">
        <v>3635</v>
      </c>
      <c r="I26" s="32">
        <v>2082</v>
      </c>
      <c r="J26" s="32">
        <v>216</v>
      </c>
      <c r="K26" s="32">
        <v>620</v>
      </c>
      <c r="L26" s="32">
        <v>2918</v>
      </c>
      <c r="M26" s="32">
        <v>3132</v>
      </c>
      <c r="N26" s="32">
        <v>943</v>
      </c>
      <c r="O26" s="32">
        <v>48</v>
      </c>
      <c r="P26" s="32">
        <v>364</v>
      </c>
      <c r="Q26" s="32">
        <v>8</v>
      </c>
      <c r="R26" s="32">
        <v>133</v>
      </c>
      <c r="S26" s="32">
        <v>953</v>
      </c>
      <c r="T26" s="32">
        <v>1658</v>
      </c>
      <c r="U26" s="32">
        <v>320</v>
      </c>
      <c r="V26" s="32">
        <v>578</v>
      </c>
      <c r="W26" s="32">
        <v>5005</v>
      </c>
      <c r="X26" s="32">
        <v>11558</v>
      </c>
      <c r="Y26" s="32">
        <v>1770</v>
      </c>
      <c r="Z26" s="32">
        <v>301</v>
      </c>
      <c r="AA26" s="32">
        <v>13027</v>
      </c>
      <c r="AB26" s="32">
        <v>1679</v>
      </c>
      <c r="AC26" s="32">
        <v>77600</v>
      </c>
    </row>
    <row r="27" spans="1:29" x14ac:dyDescent="0.3">
      <c r="A27" s="31" t="s">
        <v>58</v>
      </c>
      <c r="B27" s="32">
        <v>3807</v>
      </c>
      <c r="C27" s="32">
        <v>730</v>
      </c>
      <c r="D27" s="32">
        <v>951</v>
      </c>
      <c r="E27" s="32">
        <v>13</v>
      </c>
      <c r="F27" s="32">
        <v>5502</v>
      </c>
      <c r="G27" s="32">
        <v>149</v>
      </c>
      <c r="H27" s="32">
        <v>5651</v>
      </c>
      <c r="I27" s="32">
        <v>3733</v>
      </c>
      <c r="J27" s="32">
        <v>387</v>
      </c>
      <c r="K27" s="32">
        <v>1111</v>
      </c>
      <c r="L27" s="32">
        <v>5232</v>
      </c>
      <c r="M27" s="32">
        <v>5381</v>
      </c>
      <c r="N27" s="32">
        <v>1692</v>
      </c>
      <c r="O27" s="32">
        <v>86</v>
      </c>
      <c r="P27" s="32">
        <v>653</v>
      </c>
      <c r="Q27" s="32">
        <v>13</v>
      </c>
      <c r="R27" s="32">
        <v>238</v>
      </c>
      <c r="S27" s="32">
        <v>1709</v>
      </c>
      <c r="T27" s="32">
        <v>2972</v>
      </c>
      <c r="U27" s="32">
        <v>574</v>
      </c>
      <c r="V27" s="32">
        <v>1037</v>
      </c>
      <c r="W27" s="32">
        <v>8975</v>
      </c>
      <c r="X27" s="32">
        <v>19858</v>
      </c>
      <c r="Y27" s="32">
        <v>3041</v>
      </c>
      <c r="Z27" s="32">
        <v>517</v>
      </c>
      <c r="AA27" s="32">
        <v>22381</v>
      </c>
      <c r="AB27" s="32">
        <v>2489</v>
      </c>
      <c r="AC27" s="32">
        <v>89910</v>
      </c>
    </row>
    <row r="28" spans="1:29" s="2" customFormat="1" x14ac:dyDescent="0.3">
      <c r="A28" s="14" t="s">
        <v>403</v>
      </c>
      <c r="B28" s="15">
        <v>22061</v>
      </c>
      <c r="C28" s="15">
        <v>6074</v>
      </c>
      <c r="D28" s="15">
        <v>3235</v>
      </c>
      <c r="E28" s="15">
        <v>147</v>
      </c>
      <c r="F28" s="15">
        <v>31521</v>
      </c>
      <c r="G28" s="15">
        <v>2346</v>
      </c>
      <c r="H28" s="15">
        <v>33866</v>
      </c>
      <c r="I28" s="15">
        <v>28226</v>
      </c>
      <c r="J28" s="15">
        <v>2927</v>
      </c>
      <c r="K28" s="15">
        <v>8403</v>
      </c>
      <c r="L28" s="15">
        <v>39559</v>
      </c>
      <c r="M28" s="15">
        <v>41906</v>
      </c>
      <c r="N28" s="15">
        <v>12790</v>
      </c>
      <c r="O28" s="15">
        <v>649</v>
      </c>
      <c r="P28" s="15">
        <v>4936</v>
      </c>
      <c r="Q28" s="15">
        <v>101</v>
      </c>
      <c r="R28" s="15">
        <v>1803</v>
      </c>
      <c r="S28" s="15">
        <v>12921</v>
      </c>
      <c r="T28" s="15">
        <v>22474</v>
      </c>
      <c r="U28" s="15">
        <v>4341</v>
      </c>
      <c r="V28" s="15">
        <v>7839</v>
      </c>
      <c r="W28" s="15">
        <v>67856</v>
      </c>
      <c r="X28" s="15">
        <v>141281</v>
      </c>
      <c r="Y28" s="15">
        <v>21634</v>
      </c>
      <c r="Z28" s="15">
        <v>3680</v>
      </c>
      <c r="AA28" s="15">
        <v>159235</v>
      </c>
      <c r="AB28" s="15">
        <v>19005</v>
      </c>
      <c r="AC28" s="15">
        <f>AVERAGE(AC20:AC27)</f>
        <v>81332.875</v>
      </c>
    </row>
    <row r="29" spans="1:29" x14ac:dyDescent="0.3">
      <c r="A29" s="34" t="s">
        <v>59</v>
      </c>
      <c r="B29" s="35">
        <v>2836</v>
      </c>
      <c r="C29" s="35">
        <v>654</v>
      </c>
      <c r="D29" s="35">
        <v>234</v>
      </c>
      <c r="E29" s="35">
        <v>22</v>
      </c>
      <c r="F29" s="35">
        <v>3746</v>
      </c>
      <c r="G29" s="35">
        <v>43</v>
      </c>
      <c r="H29" s="35">
        <v>3789</v>
      </c>
      <c r="I29" s="35">
        <v>2872</v>
      </c>
      <c r="J29" s="35">
        <v>298</v>
      </c>
      <c r="K29" s="35">
        <v>855</v>
      </c>
      <c r="L29" s="35">
        <v>4025</v>
      </c>
      <c r="M29" s="35">
        <v>4067</v>
      </c>
      <c r="N29" s="35">
        <v>1301</v>
      </c>
      <c r="O29" s="35">
        <v>66</v>
      </c>
      <c r="P29" s="35">
        <v>502</v>
      </c>
      <c r="Q29" s="35">
        <v>10</v>
      </c>
      <c r="R29" s="35">
        <v>183</v>
      </c>
      <c r="S29" s="35">
        <v>1314</v>
      </c>
      <c r="T29" s="35">
        <v>2286</v>
      </c>
      <c r="U29" s="35">
        <v>442</v>
      </c>
      <c r="V29" s="35">
        <v>797</v>
      </c>
      <c r="W29" s="35">
        <v>6903</v>
      </c>
      <c r="X29" s="35">
        <v>14717</v>
      </c>
      <c r="Y29" s="35">
        <v>2254</v>
      </c>
      <c r="Z29" s="35">
        <v>383</v>
      </c>
      <c r="AA29" s="35">
        <v>16588</v>
      </c>
      <c r="AB29" s="35">
        <v>2621</v>
      </c>
      <c r="AC29" s="35">
        <v>63281</v>
      </c>
    </row>
    <row r="30" spans="1:29" x14ac:dyDescent="0.3">
      <c r="A30" s="34" t="s">
        <v>60</v>
      </c>
      <c r="B30" s="35">
        <v>2446</v>
      </c>
      <c r="C30" s="35">
        <v>264</v>
      </c>
      <c r="D30" s="35">
        <v>150</v>
      </c>
      <c r="E30" s="35">
        <v>17</v>
      </c>
      <c r="F30" s="35">
        <v>2878</v>
      </c>
      <c r="G30" s="35">
        <v>121</v>
      </c>
      <c r="H30" s="35">
        <v>2999</v>
      </c>
      <c r="I30" s="35">
        <v>3198</v>
      </c>
      <c r="J30" s="35">
        <v>332</v>
      </c>
      <c r="K30" s="35">
        <v>952</v>
      </c>
      <c r="L30" s="35">
        <v>4481</v>
      </c>
      <c r="M30" s="35">
        <v>4603</v>
      </c>
      <c r="N30" s="35">
        <v>1449</v>
      </c>
      <c r="O30" s="35">
        <v>74</v>
      </c>
      <c r="P30" s="35">
        <v>559</v>
      </c>
      <c r="Q30" s="35">
        <v>12</v>
      </c>
      <c r="R30" s="35">
        <v>204</v>
      </c>
      <c r="S30" s="35">
        <v>1464</v>
      </c>
      <c r="T30" s="35">
        <v>2546</v>
      </c>
      <c r="U30" s="35">
        <v>492</v>
      </c>
      <c r="V30" s="35">
        <v>888</v>
      </c>
      <c r="W30" s="35">
        <v>7687</v>
      </c>
      <c r="X30" s="35">
        <v>15167</v>
      </c>
      <c r="Y30" s="35">
        <v>2323</v>
      </c>
      <c r="Z30" s="35">
        <v>395</v>
      </c>
      <c r="AA30" s="35">
        <v>17095</v>
      </c>
      <c r="AB30" s="35">
        <v>1845</v>
      </c>
      <c r="AC30" s="35">
        <v>92679</v>
      </c>
    </row>
    <row r="31" spans="1:29" x14ac:dyDescent="0.3">
      <c r="A31" s="34" t="s">
        <v>61</v>
      </c>
      <c r="B31" s="35">
        <v>2239</v>
      </c>
      <c r="C31" s="35">
        <v>250</v>
      </c>
      <c r="D31" s="35">
        <v>115</v>
      </c>
      <c r="E31" s="35">
        <v>27</v>
      </c>
      <c r="F31" s="35">
        <v>2632</v>
      </c>
      <c r="G31" s="35">
        <v>20</v>
      </c>
      <c r="H31" s="35">
        <v>2651</v>
      </c>
      <c r="I31" s="35">
        <v>1160</v>
      </c>
      <c r="J31" s="35">
        <v>120</v>
      </c>
      <c r="K31" s="35">
        <v>345</v>
      </c>
      <c r="L31" s="35">
        <v>1626</v>
      </c>
      <c r="M31" s="35">
        <v>1646</v>
      </c>
      <c r="N31" s="35">
        <v>526</v>
      </c>
      <c r="O31" s="35">
        <v>27</v>
      </c>
      <c r="P31" s="35">
        <v>203</v>
      </c>
      <c r="Q31" s="35">
        <v>4</v>
      </c>
      <c r="R31" s="35">
        <v>74</v>
      </c>
      <c r="S31" s="35">
        <v>531</v>
      </c>
      <c r="T31" s="35">
        <v>924</v>
      </c>
      <c r="U31" s="35">
        <v>178</v>
      </c>
      <c r="V31" s="35">
        <v>322</v>
      </c>
      <c r="W31" s="35">
        <v>2789</v>
      </c>
      <c r="X31" s="35">
        <v>7067</v>
      </c>
      <c r="Y31" s="35">
        <v>1082</v>
      </c>
      <c r="Z31" s="35">
        <v>184</v>
      </c>
      <c r="AA31" s="35">
        <v>7965</v>
      </c>
      <c r="AB31" s="35">
        <v>1213</v>
      </c>
      <c r="AC31" s="35">
        <v>65685</v>
      </c>
    </row>
    <row r="32" spans="1:29" x14ac:dyDescent="0.3">
      <c r="A32" s="34" t="s">
        <v>62</v>
      </c>
      <c r="B32" s="35">
        <v>3921</v>
      </c>
      <c r="C32" s="35">
        <v>455</v>
      </c>
      <c r="D32" s="35">
        <v>475</v>
      </c>
      <c r="E32" s="35">
        <v>31</v>
      </c>
      <c r="F32" s="35">
        <v>4882</v>
      </c>
      <c r="G32" s="35">
        <v>63</v>
      </c>
      <c r="H32" s="35">
        <v>4945</v>
      </c>
      <c r="I32" s="35">
        <v>4573</v>
      </c>
      <c r="J32" s="35">
        <v>474</v>
      </c>
      <c r="K32" s="35">
        <v>1361</v>
      </c>
      <c r="L32" s="35">
        <v>6409</v>
      </c>
      <c r="M32" s="35">
        <v>6472</v>
      </c>
      <c r="N32" s="35">
        <v>2072</v>
      </c>
      <c r="O32" s="35">
        <v>105</v>
      </c>
      <c r="P32" s="35">
        <v>800</v>
      </c>
      <c r="Q32" s="35">
        <v>17</v>
      </c>
      <c r="R32" s="35">
        <v>292</v>
      </c>
      <c r="S32" s="35">
        <v>2093</v>
      </c>
      <c r="T32" s="35">
        <v>3641</v>
      </c>
      <c r="U32" s="35">
        <v>703</v>
      </c>
      <c r="V32" s="35">
        <v>1270</v>
      </c>
      <c r="W32" s="35">
        <v>10993</v>
      </c>
      <c r="X32" s="35">
        <v>22347</v>
      </c>
      <c r="Y32" s="35">
        <v>3422</v>
      </c>
      <c r="Z32" s="35">
        <v>582</v>
      </c>
      <c r="AA32" s="35">
        <v>25187</v>
      </c>
      <c r="AB32" s="35">
        <v>2935</v>
      </c>
      <c r="AC32" s="35">
        <v>85807</v>
      </c>
    </row>
    <row r="33" spans="1:29" x14ac:dyDescent="0.3">
      <c r="A33" s="34" t="s">
        <v>63</v>
      </c>
      <c r="B33" s="35">
        <v>4061</v>
      </c>
      <c r="C33" s="35">
        <v>469</v>
      </c>
      <c r="D33" s="35">
        <v>761</v>
      </c>
      <c r="E33" s="35">
        <v>38</v>
      </c>
      <c r="F33" s="35">
        <v>5328</v>
      </c>
      <c r="G33" s="35">
        <v>1194</v>
      </c>
      <c r="H33" s="35">
        <v>6523</v>
      </c>
      <c r="I33" s="35">
        <v>3208</v>
      </c>
      <c r="J33" s="35">
        <v>333</v>
      </c>
      <c r="K33" s="35">
        <v>955</v>
      </c>
      <c r="L33" s="35">
        <v>4496</v>
      </c>
      <c r="M33" s="35">
        <v>5690</v>
      </c>
      <c r="N33" s="35">
        <v>1454</v>
      </c>
      <c r="O33" s="35">
        <v>74</v>
      </c>
      <c r="P33" s="35">
        <v>561</v>
      </c>
      <c r="Q33" s="35">
        <v>12</v>
      </c>
      <c r="R33" s="35">
        <v>205</v>
      </c>
      <c r="S33" s="35">
        <v>1468</v>
      </c>
      <c r="T33" s="35">
        <v>2554</v>
      </c>
      <c r="U33" s="35">
        <v>493</v>
      </c>
      <c r="V33" s="35">
        <v>891</v>
      </c>
      <c r="W33" s="35">
        <v>7711</v>
      </c>
      <c r="X33" s="35">
        <v>18730</v>
      </c>
      <c r="Y33" s="35">
        <v>2868</v>
      </c>
      <c r="Z33" s="35">
        <v>488</v>
      </c>
      <c r="AA33" s="35">
        <v>21110</v>
      </c>
      <c r="AB33" s="35">
        <v>2810</v>
      </c>
      <c r="AC33" s="35">
        <v>75123</v>
      </c>
    </row>
    <row r="34" spans="1:29" s="2" customFormat="1" x14ac:dyDescent="0.3">
      <c r="A34" s="16" t="s">
        <v>407</v>
      </c>
      <c r="B34" s="17">
        <v>15503</v>
      </c>
      <c r="C34" s="17">
        <v>2092</v>
      </c>
      <c r="D34" s="17">
        <v>1735</v>
      </c>
      <c r="E34" s="17">
        <v>135</v>
      </c>
      <c r="F34" s="17">
        <v>19466</v>
      </c>
      <c r="G34" s="17">
        <v>1441</v>
      </c>
      <c r="H34" s="17">
        <v>20907</v>
      </c>
      <c r="I34" s="17">
        <v>15011</v>
      </c>
      <c r="J34" s="17">
        <v>1557</v>
      </c>
      <c r="K34" s="17">
        <v>4468</v>
      </c>
      <c r="L34" s="17">
        <v>21037</v>
      </c>
      <c r="M34" s="17">
        <v>22478</v>
      </c>
      <c r="N34" s="17">
        <v>6802</v>
      </c>
      <c r="O34" s="17">
        <v>346</v>
      </c>
      <c r="P34" s="17">
        <v>2625</v>
      </c>
      <c r="Q34" s="17">
        <v>55</v>
      </c>
      <c r="R34" s="17">
        <v>958</v>
      </c>
      <c r="S34" s="17">
        <v>6870</v>
      </c>
      <c r="T34" s="17">
        <v>11951</v>
      </c>
      <c r="U34" s="17">
        <v>2308</v>
      </c>
      <c r="V34" s="17">
        <v>4168</v>
      </c>
      <c r="W34" s="17">
        <v>36083</v>
      </c>
      <c r="X34" s="17">
        <v>78028</v>
      </c>
      <c r="Y34" s="17">
        <v>11949</v>
      </c>
      <c r="Z34" s="17">
        <v>2032</v>
      </c>
      <c r="AA34" s="17">
        <v>87945</v>
      </c>
      <c r="AB34" s="17">
        <v>11424</v>
      </c>
      <c r="AC34" s="17">
        <f>AVERAGE(AC29:AC33)</f>
        <v>76515</v>
      </c>
    </row>
    <row r="35" spans="1:29" x14ac:dyDescent="0.3">
      <c r="A35" s="20" t="s">
        <v>64</v>
      </c>
      <c r="B35" s="21">
        <v>1734</v>
      </c>
      <c r="C35" s="21">
        <v>283</v>
      </c>
      <c r="D35" s="21">
        <v>409</v>
      </c>
      <c r="E35" s="21">
        <v>29</v>
      </c>
      <c r="F35" s="21">
        <v>2455</v>
      </c>
      <c r="G35" s="21">
        <v>92</v>
      </c>
      <c r="H35" s="21">
        <v>2547</v>
      </c>
      <c r="I35" s="21">
        <v>2380</v>
      </c>
      <c r="J35" s="21">
        <v>247</v>
      </c>
      <c r="K35" s="21">
        <v>709</v>
      </c>
      <c r="L35" s="21">
        <v>3335</v>
      </c>
      <c r="M35" s="21">
        <v>3428</v>
      </c>
      <c r="N35" s="21">
        <v>1078</v>
      </c>
      <c r="O35" s="21">
        <v>55</v>
      </c>
      <c r="P35" s="21">
        <v>416</v>
      </c>
      <c r="Q35" s="21">
        <v>9</v>
      </c>
      <c r="R35" s="21">
        <v>152</v>
      </c>
      <c r="S35" s="21">
        <v>1089</v>
      </c>
      <c r="T35" s="21">
        <v>1895</v>
      </c>
      <c r="U35" s="21">
        <v>366</v>
      </c>
      <c r="V35" s="21">
        <v>661</v>
      </c>
      <c r="W35" s="21">
        <v>5721</v>
      </c>
      <c r="X35" s="21">
        <v>11604</v>
      </c>
      <c r="Y35" s="21">
        <v>1777</v>
      </c>
      <c r="Z35" s="21">
        <v>302</v>
      </c>
      <c r="AA35" s="21">
        <v>13078</v>
      </c>
      <c r="AB35" s="21">
        <v>1321</v>
      </c>
      <c r="AC35" s="21">
        <v>99000</v>
      </c>
    </row>
    <row r="36" spans="1:29" x14ac:dyDescent="0.3">
      <c r="A36" s="20" t="s">
        <v>65</v>
      </c>
      <c r="B36" s="21">
        <v>2439</v>
      </c>
      <c r="C36" s="21">
        <v>521</v>
      </c>
      <c r="D36" s="21">
        <v>583</v>
      </c>
      <c r="E36" s="21">
        <v>117</v>
      </c>
      <c r="F36" s="21">
        <v>3660</v>
      </c>
      <c r="G36" s="21">
        <v>1553</v>
      </c>
      <c r="H36" s="21">
        <v>5214</v>
      </c>
      <c r="I36" s="21">
        <v>15404</v>
      </c>
      <c r="J36" s="21">
        <v>1598</v>
      </c>
      <c r="K36" s="21">
        <v>4586</v>
      </c>
      <c r="L36" s="21">
        <v>21588</v>
      </c>
      <c r="M36" s="21">
        <v>23141</v>
      </c>
      <c r="N36" s="21">
        <v>6980</v>
      </c>
      <c r="O36" s="21">
        <v>355</v>
      </c>
      <c r="P36" s="21">
        <v>2694</v>
      </c>
      <c r="Q36" s="21">
        <v>56</v>
      </c>
      <c r="R36" s="21">
        <v>984</v>
      </c>
      <c r="S36" s="21">
        <v>7051</v>
      </c>
      <c r="T36" s="21">
        <v>12264</v>
      </c>
      <c r="U36" s="21">
        <v>2369</v>
      </c>
      <c r="V36" s="21">
        <v>4278</v>
      </c>
      <c r="W36" s="21">
        <v>37029</v>
      </c>
      <c r="X36" s="21">
        <v>63831</v>
      </c>
      <c r="Y36" s="21">
        <v>9774</v>
      </c>
      <c r="Z36" s="21">
        <v>1662</v>
      </c>
      <c r="AA36" s="21">
        <v>71943</v>
      </c>
      <c r="AB36" s="21">
        <v>4756</v>
      </c>
      <c r="AC36" s="21">
        <v>151254</v>
      </c>
    </row>
    <row r="37" spans="1:29" x14ac:dyDescent="0.3">
      <c r="A37" s="20" t="s">
        <v>66</v>
      </c>
      <c r="B37" s="21">
        <v>1391</v>
      </c>
      <c r="C37" s="21">
        <v>264</v>
      </c>
      <c r="D37" s="21">
        <v>462</v>
      </c>
      <c r="E37" s="21">
        <v>116</v>
      </c>
      <c r="F37" s="21">
        <v>2232</v>
      </c>
      <c r="G37" s="21">
        <v>398</v>
      </c>
      <c r="H37" s="21">
        <v>2631</v>
      </c>
      <c r="I37" s="21">
        <v>1723</v>
      </c>
      <c r="J37" s="21">
        <v>179</v>
      </c>
      <c r="K37" s="21">
        <v>513</v>
      </c>
      <c r="L37" s="21">
        <v>2415</v>
      </c>
      <c r="M37" s="21">
        <v>2814</v>
      </c>
      <c r="N37" s="21">
        <v>781</v>
      </c>
      <c r="O37" s="21">
        <v>40</v>
      </c>
      <c r="P37" s="21">
        <v>301</v>
      </c>
      <c r="Q37" s="21">
        <v>6</v>
      </c>
      <c r="R37" s="21">
        <v>110</v>
      </c>
      <c r="S37" s="21">
        <v>789</v>
      </c>
      <c r="T37" s="21">
        <v>1372</v>
      </c>
      <c r="U37" s="21">
        <v>265</v>
      </c>
      <c r="V37" s="21">
        <v>479</v>
      </c>
      <c r="W37" s="21">
        <v>4143</v>
      </c>
      <c r="X37" s="21">
        <v>9189</v>
      </c>
      <c r="Y37" s="21">
        <v>1407</v>
      </c>
      <c r="Z37" s="21">
        <v>239</v>
      </c>
      <c r="AA37" s="21">
        <v>10357</v>
      </c>
      <c r="AB37" s="21">
        <v>1216</v>
      </c>
      <c r="AC37" s="21">
        <v>85158</v>
      </c>
    </row>
    <row r="38" spans="1:29" x14ac:dyDescent="0.3">
      <c r="A38" s="20" t="s">
        <v>67</v>
      </c>
      <c r="B38" s="21">
        <v>1174</v>
      </c>
      <c r="C38" s="21">
        <v>240</v>
      </c>
      <c r="D38" s="21">
        <v>541</v>
      </c>
      <c r="E38" s="21">
        <v>77</v>
      </c>
      <c r="F38" s="21">
        <v>2032</v>
      </c>
      <c r="G38" s="21">
        <v>62</v>
      </c>
      <c r="H38" s="21">
        <v>2094</v>
      </c>
      <c r="I38" s="21">
        <v>2079</v>
      </c>
      <c r="J38" s="21">
        <v>216</v>
      </c>
      <c r="K38" s="21">
        <v>619</v>
      </c>
      <c r="L38" s="21">
        <v>2913</v>
      </c>
      <c r="M38" s="21">
        <v>2975</v>
      </c>
      <c r="N38" s="21">
        <v>942</v>
      </c>
      <c r="O38" s="21">
        <v>48</v>
      </c>
      <c r="P38" s="21">
        <v>364</v>
      </c>
      <c r="Q38" s="21">
        <v>8</v>
      </c>
      <c r="R38" s="21">
        <v>133</v>
      </c>
      <c r="S38" s="21">
        <v>952</v>
      </c>
      <c r="T38" s="21">
        <v>1655</v>
      </c>
      <c r="U38" s="21">
        <v>320</v>
      </c>
      <c r="V38" s="21">
        <v>577</v>
      </c>
      <c r="W38" s="21">
        <v>4998</v>
      </c>
      <c r="X38" s="21">
        <v>10005</v>
      </c>
      <c r="Y38" s="21">
        <v>1532</v>
      </c>
      <c r="Z38" s="21">
        <v>260</v>
      </c>
      <c r="AA38" s="21">
        <v>11276</v>
      </c>
      <c r="AB38" s="21">
        <v>1339</v>
      </c>
      <c r="AC38" s="21">
        <v>84187</v>
      </c>
    </row>
    <row r="39" spans="1:29" x14ac:dyDescent="0.3">
      <c r="A39" s="20" t="s">
        <v>68</v>
      </c>
      <c r="B39" s="21">
        <v>2097</v>
      </c>
      <c r="C39" s="21">
        <v>322</v>
      </c>
      <c r="D39" s="21">
        <v>761</v>
      </c>
      <c r="E39" s="21">
        <v>105</v>
      </c>
      <c r="F39" s="21">
        <v>3284</v>
      </c>
      <c r="G39" s="21">
        <v>2390</v>
      </c>
      <c r="H39" s="21">
        <v>5674</v>
      </c>
      <c r="I39" s="21">
        <v>3702</v>
      </c>
      <c r="J39" s="21">
        <v>384</v>
      </c>
      <c r="K39" s="21">
        <v>1102</v>
      </c>
      <c r="L39" s="21">
        <v>5189</v>
      </c>
      <c r="M39" s="21">
        <v>7579</v>
      </c>
      <c r="N39" s="21">
        <v>1678</v>
      </c>
      <c r="O39" s="21">
        <v>85</v>
      </c>
      <c r="P39" s="21">
        <v>648</v>
      </c>
      <c r="Q39" s="21">
        <v>13</v>
      </c>
      <c r="R39" s="21">
        <v>236</v>
      </c>
      <c r="S39" s="21">
        <v>1695</v>
      </c>
      <c r="T39" s="21">
        <v>2948</v>
      </c>
      <c r="U39" s="21">
        <v>569</v>
      </c>
      <c r="V39" s="21">
        <v>1028</v>
      </c>
      <c r="W39" s="21">
        <v>8900</v>
      </c>
      <c r="X39" s="21">
        <v>19763</v>
      </c>
      <c r="Y39" s="21">
        <v>3026</v>
      </c>
      <c r="Z39" s="21">
        <v>515</v>
      </c>
      <c r="AA39" s="21">
        <v>22275</v>
      </c>
      <c r="AB39" s="21">
        <v>2240</v>
      </c>
      <c r="AC39" s="21">
        <v>99453</v>
      </c>
    </row>
    <row r="40" spans="1:29" x14ac:dyDescent="0.3">
      <c r="A40" s="20" t="s">
        <v>69</v>
      </c>
      <c r="B40" s="21">
        <v>715</v>
      </c>
      <c r="C40" s="21">
        <v>246</v>
      </c>
      <c r="D40" s="21">
        <v>1137</v>
      </c>
      <c r="E40" s="21">
        <v>40</v>
      </c>
      <c r="F40" s="21">
        <v>2138</v>
      </c>
      <c r="G40" s="21">
        <v>89</v>
      </c>
      <c r="H40" s="21">
        <v>2227</v>
      </c>
      <c r="I40" s="21">
        <v>1163</v>
      </c>
      <c r="J40" s="21">
        <v>121</v>
      </c>
      <c r="K40" s="21">
        <v>346</v>
      </c>
      <c r="L40" s="21">
        <v>1630</v>
      </c>
      <c r="M40" s="21">
        <v>1719</v>
      </c>
      <c r="N40" s="21">
        <v>527</v>
      </c>
      <c r="O40" s="21">
        <v>27</v>
      </c>
      <c r="P40" s="21">
        <v>203</v>
      </c>
      <c r="Q40" s="21">
        <v>4</v>
      </c>
      <c r="R40" s="21">
        <v>74</v>
      </c>
      <c r="S40" s="21">
        <v>532</v>
      </c>
      <c r="T40" s="21">
        <v>926</v>
      </c>
      <c r="U40" s="21">
        <v>179</v>
      </c>
      <c r="V40" s="21">
        <v>323</v>
      </c>
      <c r="W40" s="21">
        <v>2796</v>
      </c>
      <c r="X40" s="21">
        <v>6653</v>
      </c>
      <c r="Y40" s="21">
        <v>1019</v>
      </c>
      <c r="Z40" s="21">
        <v>173</v>
      </c>
      <c r="AA40" s="21">
        <v>7498</v>
      </c>
      <c r="AB40" s="21">
        <v>1085</v>
      </c>
      <c r="AC40" s="21">
        <v>69080</v>
      </c>
    </row>
    <row r="41" spans="1:29" s="2" customFormat="1" x14ac:dyDescent="0.3">
      <c r="A41" s="23" t="s">
        <v>402</v>
      </c>
      <c r="B41" s="24">
        <v>9550</v>
      </c>
      <c r="C41" s="24">
        <v>1876</v>
      </c>
      <c r="D41" s="24">
        <v>3893</v>
      </c>
      <c r="E41" s="24">
        <v>484</v>
      </c>
      <c r="F41" s="24">
        <v>15801</v>
      </c>
      <c r="G41" s="24">
        <v>4584</v>
      </c>
      <c r="H41" s="24">
        <v>20387</v>
      </c>
      <c r="I41" s="24">
        <v>26451</v>
      </c>
      <c r="J41" s="24">
        <v>2745</v>
      </c>
      <c r="K41" s="24">
        <v>7875</v>
      </c>
      <c r="L41" s="24">
        <v>37070</v>
      </c>
      <c r="M41" s="24">
        <v>41656</v>
      </c>
      <c r="N41" s="24">
        <v>11986</v>
      </c>
      <c r="O41" s="24">
        <v>610</v>
      </c>
      <c r="P41" s="24">
        <v>4626</v>
      </c>
      <c r="Q41" s="24">
        <v>96</v>
      </c>
      <c r="R41" s="24">
        <v>1689</v>
      </c>
      <c r="S41" s="24">
        <v>12108</v>
      </c>
      <c r="T41" s="24">
        <v>21060</v>
      </c>
      <c r="U41" s="24">
        <v>4068</v>
      </c>
      <c r="V41" s="24">
        <v>7346</v>
      </c>
      <c r="W41" s="24">
        <v>63587</v>
      </c>
      <c r="X41" s="24">
        <v>121045</v>
      </c>
      <c r="Y41" s="24">
        <v>18535</v>
      </c>
      <c r="Z41" s="24">
        <v>3151</v>
      </c>
      <c r="AA41" s="24">
        <v>136427</v>
      </c>
      <c r="AB41" s="24">
        <v>11957</v>
      </c>
      <c r="AC41" s="24">
        <f>AVERAGE(AC35:AC40)</f>
        <v>98022</v>
      </c>
    </row>
    <row r="42" spans="1:29" s="2" customFormat="1" x14ac:dyDescent="0.3">
      <c r="A42" s="25" t="s">
        <v>406</v>
      </c>
      <c r="B42" s="26">
        <v>108294</v>
      </c>
      <c r="C42" s="26">
        <v>32824</v>
      </c>
      <c r="D42" s="26">
        <v>18278</v>
      </c>
      <c r="E42" s="26">
        <v>3516</v>
      </c>
      <c r="F42" s="26">
        <v>162916</v>
      </c>
      <c r="G42" s="26">
        <v>58922</v>
      </c>
      <c r="H42" s="26">
        <v>221836</v>
      </c>
      <c r="I42" s="26">
        <v>282027</v>
      </c>
      <c r="J42" s="26">
        <v>29251</v>
      </c>
      <c r="K42" s="26">
        <v>83961</v>
      </c>
      <c r="L42" s="26">
        <v>395244</v>
      </c>
      <c r="M42" s="26">
        <v>454164</v>
      </c>
      <c r="N42" s="26">
        <v>127791</v>
      </c>
      <c r="O42" s="26">
        <v>6492</v>
      </c>
      <c r="P42" s="26">
        <v>49328</v>
      </c>
      <c r="Q42" s="26">
        <v>1019</v>
      </c>
      <c r="R42" s="26">
        <v>18011</v>
      </c>
      <c r="S42" s="26">
        <v>129090</v>
      </c>
      <c r="T42" s="26">
        <v>224539</v>
      </c>
      <c r="U42" s="26">
        <v>43371</v>
      </c>
      <c r="V42" s="26">
        <v>78318</v>
      </c>
      <c r="W42" s="26">
        <v>677962</v>
      </c>
      <c r="X42" s="26">
        <v>1295043</v>
      </c>
      <c r="Y42" s="26">
        <v>198305</v>
      </c>
      <c r="Z42" s="26">
        <v>33718</v>
      </c>
      <c r="AA42" s="26">
        <v>1459626</v>
      </c>
      <c r="AB42" s="26">
        <v>114384</v>
      </c>
      <c r="AC42" s="26">
        <f>AVERAGE(AC41,AC34,AC28,AC13,AC7,AC19)</f>
        <v>104728.37916666667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2"/>
  <sheetViews>
    <sheetView tabSelected="1" zoomScale="122" zoomScaleNormal="122" workbookViewId="0">
      <selection activeCell="J12" sqref="J12"/>
    </sheetView>
  </sheetViews>
  <sheetFormatPr defaultRowHeight="14.4" x14ac:dyDescent="0.3"/>
  <cols>
    <col min="1" max="1" width="22.33203125" bestFit="1" customWidth="1"/>
    <col min="2" max="2" width="7.21875" bestFit="1" customWidth="1"/>
    <col min="3" max="3" width="7.88671875" customWidth="1"/>
    <col min="4" max="4" width="13.88671875" bestFit="1" customWidth="1"/>
    <col min="5" max="5" width="15.33203125" bestFit="1" customWidth="1"/>
    <col min="6" max="6" width="19.33203125" bestFit="1" customWidth="1"/>
    <col min="7" max="7" width="13.109375" bestFit="1" customWidth="1"/>
    <col min="8" max="8" width="9.44140625" bestFit="1" customWidth="1"/>
    <col min="9" max="9" width="9.77734375" bestFit="1" customWidth="1"/>
    <col min="10" max="10" width="33.6640625" bestFit="1" customWidth="1"/>
    <col min="11" max="11" width="8.6640625" bestFit="1" customWidth="1"/>
    <col min="12" max="12" width="11.33203125" bestFit="1" customWidth="1"/>
    <col min="13" max="13" width="7" bestFit="1" customWidth="1"/>
    <col min="14" max="14" width="22.88671875" bestFit="1" customWidth="1"/>
    <col min="15" max="15" width="6.21875" bestFit="1" customWidth="1"/>
    <col min="16" max="16" width="25.6640625" bestFit="1" customWidth="1"/>
    <col min="17" max="17" width="5.44140625" bestFit="1" customWidth="1"/>
    <col min="18" max="18" width="23.5546875" bestFit="1" customWidth="1"/>
    <col min="19" max="19" width="11.5546875" bestFit="1" customWidth="1"/>
    <col min="20" max="20" width="29.21875" bestFit="1" customWidth="1"/>
    <col min="21" max="21" width="20.6640625" bestFit="1" customWidth="1"/>
    <col min="22" max="22" width="9.5546875" bestFit="1" customWidth="1"/>
    <col min="23" max="23" width="15.5546875" bestFit="1" customWidth="1"/>
    <col min="24" max="24" width="8" bestFit="1" customWidth="1"/>
    <col min="25" max="25" width="11.88671875" bestFit="1" customWidth="1"/>
    <col min="26" max="26" width="17.44140625" bestFit="1" customWidth="1"/>
    <col min="27" max="27" width="8" bestFit="1" customWidth="1"/>
    <col min="28" max="28" width="10.77734375" bestFit="1" customWidth="1"/>
    <col min="29" max="29" width="23.5546875" bestFit="1" customWidth="1"/>
  </cols>
  <sheetData>
    <row r="1" spans="1:29" x14ac:dyDescent="0.3">
      <c r="A1" s="37" t="s">
        <v>0</v>
      </c>
      <c r="B1" s="37" t="s">
        <v>1</v>
      </c>
      <c r="C1" s="37" t="s">
        <v>2</v>
      </c>
      <c r="D1" s="37" t="s">
        <v>382</v>
      </c>
      <c r="E1" s="37" t="s">
        <v>383</v>
      </c>
      <c r="F1" s="37" t="s">
        <v>384</v>
      </c>
      <c r="G1" s="37" t="s">
        <v>385</v>
      </c>
      <c r="H1" s="37" t="s">
        <v>386</v>
      </c>
      <c r="I1" s="37" t="s">
        <v>3</v>
      </c>
      <c r="J1" s="37" t="s">
        <v>387</v>
      </c>
      <c r="K1" s="37" t="s">
        <v>4</v>
      </c>
      <c r="L1" s="37" t="s">
        <v>388</v>
      </c>
      <c r="M1" s="37" t="s">
        <v>389</v>
      </c>
      <c r="N1" s="37" t="s">
        <v>410</v>
      </c>
      <c r="O1" s="38" t="s">
        <v>37</v>
      </c>
      <c r="P1" s="39" t="s">
        <v>411</v>
      </c>
      <c r="Q1" s="37" t="s">
        <v>38</v>
      </c>
      <c r="R1" s="37" t="s">
        <v>390</v>
      </c>
      <c r="S1" s="37" t="s">
        <v>391</v>
      </c>
      <c r="T1" s="37" t="s">
        <v>392</v>
      </c>
      <c r="U1" s="38" t="s">
        <v>393</v>
      </c>
      <c r="V1" s="37" t="s">
        <v>394</v>
      </c>
      <c r="W1" s="37" t="s">
        <v>395</v>
      </c>
      <c r="X1" s="37" t="s">
        <v>396</v>
      </c>
      <c r="Y1" s="39" t="s">
        <v>397</v>
      </c>
      <c r="Z1" s="37" t="s">
        <v>398</v>
      </c>
      <c r="AA1" s="37" t="s">
        <v>399</v>
      </c>
      <c r="AB1" s="37" t="s">
        <v>400</v>
      </c>
      <c r="AC1" s="37" t="s">
        <v>401</v>
      </c>
    </row>
    <row r="2" spans="1:29" x14ac:dyDescent="0.3">
      <c r="A2" s="4" t="s">
        <v>409</v>
      </c>
      <c r="B2" s="5">
        <v>1</v>
      </c>
      <c r="C2" s="5">
        <v>376</v>
      </c>
      <c r="D2" s="5">
        <v>55</v>
      </c>
      <c r="E2" s="6">
        <v>1037</v>
      </c>
      <c r="F2" s="6">
        <v>1469</v>
      </c>
      <c r="G2" s="6">
        <v>32286</v>
      </c>
      <c r="H2" s="6">
        <v>33754</v>
      </c>
      <c r="I2" s="6">
        <v>65941</v>
      </c>
      <c r="J2" s="6">
        <v>8201</v>
      </c>
      <c r="K2" s="5">
        <v>18819</v>
      </c>
      <c r="L2" s="5">
        <v>92961</v>
      </c>
      <c r="M2" s="5">
        <v>125246</v>
      </c>
      <c r="N2" s="5">
        <v>27726</v>
      </c>
      <c r="O2" s="5">
        <v>1394</v>
      </c>
      <c r="P2" s="5">
        <v>10350</v>
      </c>
      <c r="Q2" s="5">
        <v>233</v>
      </c>
      <c r="R2" s="5">
        <v>4420</v>
      </c>
      <c r="S2" s="5">
        <v>30451</v>
      </c>
      <c r="T2" s="5">
        <v>54059</v>
      </c>
      <c r="U2" s="5">
        <v>9750</v>
      </c>
      <c r="V2" s="5">
        <v>18483</v>
      </c>
      <c r="W2" s="5">
        <v>156866</v>
      </c>
      <c r="X2" s="5">
        <v>283580</v>
      </c>
      <c r="Y2" s="5">
        <v>41760</v>
      </c>
      <c r="Z2" s="5">
        <v>6881</v>
      </c>
      <c r="AA2" s="5">
        <v>318460</v>
      </c>
      <c r="AB2" s="5">
        <v>13010</v>
      </c>
      <c r="AC2" s="5">
        <v>244775</v>
      </c>
    </row>
    <row r="3" spans="1:29" x14ac:dyDescent="0.3">
      <c r="A3" s="4" t="s">
        <v>381</v>
      </c>
      <c r="B3" s="5">
        <v>3400</v>
      </c>
      <c r="C3" s="5">
        <v>614</v>
      </c>
      <c r="D3" s="5">
        <v>1214</v>
      </c>
      <c r="E3" s="6">
        <v>794</v>
      </c>
      <c r="F3" s="6">
        <v>6022</v>
      </c>
      <c r="G3" s="6">
        <v>304</v>
      </c>
      <c r="H3" s="6">
        <v>6326</v>
      </c>
      <c r="I3" s="6">
        <v>53674</v>
      </c>
      <c r="J3" s="6">
        <v>6675</v>
      </c>
      <c r="K3" s="5">
        <v>15318</v>
      </c>
      <c r="L3" s="5">
        <v>75667</v>
      </c>
      <c r="M3" s="5">
        <v>75971</v>
      </c>
      <c r="N3" s="5">
        <v>22568</v>
      </c>
      <c r="O3" s="5">
        <v>1135</v>
      </c>
      <c r="P3" s="5">
        <v>8424</v>
      </c>
      <c r="Q3" s="5">
        <v>190</v>
      </c>
      <c r="R3" s="5">
        <v>3598</v>
      </c>
      <c r="S3" s="5">
        <v>24786</v>
      </c>
      <c r="T3" s="5">
        <v>44002</v>
      </c>
      <c r="U3" s="5">
        <v>7936</v>
      </c>
      <c r="V3" s="5">
        <v>15045</v>
      </c>
      <c r="W3" s="5">
        <v>127684</v>
      </c>
      <c r="X3" s="5">
        <v>209677</v>
      </c>
      <c r="Y3" s="5">
        <v>30877</v>
      </c>
      <c r="Z3" s="5">
        <v>5088</v>
      </c>
      <c r="AA3" s="5">
        <v>235467</v>
      </c>
      <c r="AB3" s="5">
        <v>11489</v>
      </c>
      <c r="AC3" s="5">
        <v>204957</v>
      </c>
    </row>
    <row r="4" spans="1:29" x14ac:dyDescent="0.3">
      <c r="A4" s="4" t="s">
        <v>70</v>
      </c>
      <c r="B4" s="5">
        <v>1857</v>
      </c>
      <c r="C4" s="5">
        <v>156</v>
      </c>
      <c r="D4" s="5">
        <v>989</v>
      </c>
      <c r="E4" s="6">
        <v>238</v>
      </c>
      <c r="F4" s="6">
        <v>3240</v>
      </c>
      <c r="G4" s="6">
        <v>7543</v>
      </c>
      <c r="H4" s="6">
        <v>10783</v>
      </c>
      <c r="I4" s="6">
        <v>7182</v>
      </c>
      <c r="J4" s="6">
        <v>893</v>
      </c>
      <c r="K4" s="5">
        <v>2050</v>
      </c>
      <c r="L4" s="5">
        <v>10126</v>
      </c>
      <c r="M4" s="5">
        <v>17669</v>
      </c>
      <c r="N4" s="5">
        <v>3020</v>
      </c>
      <c r="O4" s="5">
        <v>152</v>
      </c>
      <c r="P4" s="5">
        <v>1127</v>
      </c>
      <c r="Q4" s="5">
        <v>25</v>
      </c>
      <c r="R4" s="5">
        <v>481</v>
      </c>
      <c r="S4" s="5">
        <v>3317</v>
      </c>
      <c r="T4" s="5">
        <v>5888</v>
      </c>
      <c r="U4" s="5">
        <v>1062</v>
      </c>
      <c r="V4" s="5">
        <v>2013</v>
      </c>
      <c r="W4" s="5">
        <v>17086</v>
      </c>
      <c r="X4" s="5">
        <v>37995</v>
      </c>
      <c r="Y4" s="5">
        <v>5595</v>
      </c>
      <c r="Z4" s="5">
        <v>922</v>
      </c>
      <c r="AA4" s="5">
        <v>42668</v>
      </c>
      <c r="AB4" s="5">
        <v>2704</v>
      </c>
      <c r="AC4" s="5">
        <v>157767</v>
      </c>
    </row>
    <row r="5" spans="1:29" x14ac:dyDescent="0.3">
      <c r="A5" s="4" t="s">
        <v>71</v>
      </c>
      <c r="B5" s="5">
        <v>3575</v>
      </c>
      <c r="C5" s="5">
        <v>212</v>
      </c>
      <c r="D5" s="5">
        <v>383</v>
      </c>
      <c r="E5" s="6">
        <v>438</v>
      </c>
      <c r="F5" s="6">
        <v>4607</v>
      </c>
      <c r="G5" s="6">
        <v>71</v>
      </c>
      <c r="H5" s="6">
        <v>4679</v>
      </c>
      <c r="I5" s="6">
        <v>3561</v>
      </c>
      <c r="J5" s="6">
        <v>443</v>
      </c>
      <c r="K5" s="5">
        <v>1016</v>
      </c>
      <c r="L5" s="5">
        <v>5021</v>
      </c>
      <c r="M5" s="5">
        <v>5092</v>
      </c>
      <c r="N5" s="5">
        <v>1497</v>
      </c>
      <c r="O5" s="5">
        <v>75</v>
      </c>
      <c r="P5" s="5">
        <v>559</v>
      </c>
      <c r="Q5" s="5">
        <v>13</v>
      </c>
      <c r="R5" s="5">
        <v>239</v>
      </c>
      <c r="S5" s="5">
        <v>1645</v>
      </c>
      <c r="T5" s="5">
        <v>2920</v>
      </c>
      <c r="U5" s="5">
        <v>527</v>
      </c>
      <c r="V5" s="5">
        <v>998</v>
      </c>
      <c r="W5" s="5">
        <v>8472</v>
      </c>
      <c r="X5" s="5">
        <v>18172</v>
      </c>
      <c r="Y5" s="5">
        <v>2676</v>
      </c>
      <c r="Z5" s="5">
        <v>441</v>
      </c>
      <c r="AA5" s="5">
        <v>20407</v>
      </c>
      <c r="AB5" s="5">
        <v>1648</v>
      </c>
      <c r="AC5" s="5">
        <v>123809</v>
      </c>
    </row>
    <row r="6" spans="1:29" x14ac:dyDescent="0.3">
      <c r="A6" s="4" t="s">
        <v>72</v>
      </c>
      <c r="B6" s="5">
        <v>2475</v>
      </c>
      <c r="C6" s="5">
        <v>158</v>
      </c>
      <c r="D6" s="5">
        <v>1050</v>
      </c>
      <c r="E6" s="6">
        <v>192</v>
      </c>
      <c r="F6" s="6">
        <v>3876</v>
      </c>
      <c r="G6" s="6">
        <v>202</v>
      </c>
      <c r="H6" s="6">
        <v>4078</v>
      </c>
      <c r="I6" s="6">
        <v>1647</v>
      </c>
      <c r="J6" s="6">
        <v>205</v>
      </c>
      <c r="K6" s="5">
        <v>470</v>
      </c>
      <c r="L6" s="5">
        <v>2321</v>
      </c>
      <c r="M6" s="5">
        <v>2523</v>
      </c>
      <c r="N6" s="5">
        <v>692</v>
      </c>
      <c r="O6" s="5">
        <v>35</v>
      </c>
      <c r="P6" s="5">
        <v>258</v>
      </c>
      <c r="Q6" s="5">
        <v>6</v>
      </c>
      <c r="R6" s="5">
        <v>110</v>
      </c>
      <c r="S6" s="5">
        <v>760</v>
      </c>
      <c r="T6" s="5">
        <v>1350</v>
      </c>
      <c r="U6" s="5">
        <v>243</v>
      </c>
      <c r="V6" s="5">
        <v>462</v>
      </c>
      <c r="W6" s="5">
        <v>3917</v>
      </c>
      <c r="X6" s="5">
        <v>10316</v>
      </c>
      <c r="Y6" s="5">
        <v>1519</v>
      </c>
      <c r="Z6" s="5">
        <v>250</v>
      </c>
      <c r="AA6" s="5">
        <v>11585</v>
      </c>
      <c r="AB6" s="5">
        <v>866</v>
      </c>
      <c r="AC6" s="5">
        <v>133757</v>
      </c>
    </row>
    <row r="7" spans="1:29" s="2" customFormat="1" x14ac:dyDescent="0.3">
      <c r="A7" s="18" t="s">
        <v>405</v>
      </c>
      <c r="B7" s="19">
        <v>11308</v>
      </c>
      <c r="C7" s="19">
        <v>1516</v>
      </c>
      <c r="D7" s="19">
        <v>3691</v>
      </c>
      <c r="E7" s="19">
        <v>2699</v>
      </c>
      <c r="F7" s="19">
        <v>19214</v>
      </c>
      <c r="G7" s="19">
        <v>40406</v>
      </c>
      <c r="H7" s="19">
        <v>59620</v>
      </c>
      <c r="I7" s="19">
        <v>132005</v>
      </c>
      <c r="J7" s="19">
        <v>16417</v>
      </c>
      <c r="K7" s="19">
        <v>37673</v>
      </c>
      <c r="L7" s="19">
        <v>186096</v>
      </c>
      <c r="M7" s="19">
        <v>226501</v>
      </c>
      <c r="N7" s="19">
        <v>55503</v>
      </c>
      <c r="O7" s="19">
        <v>2791</v>
      </c>
      <c r="P7" s="19">
        <v>20718</v>
      </c>
      <c r="Q7" s="19">
        <v>467</v>
      </c>
      <c r="R7" s="19">
        <v>8848</v>
      </c>
      <c r="S7" s="19">
        <v>60959</v>
      </c>
      <c r="T7" s="19">
        <v>108219</v>
      </c>
      <c r="U7" s="19">
        <v>19518</v>
      </c>
      <c r="V7" s="19">
        <v>37001</v>
      </c>
      <c r="W7" s="19">
        <v>314025</v>
      </c>
      <c r="X7" s="19">
        <v>559740</v>
      </c>
      <c r="Y7" s="19">
        <v>82427</v>
      </c>
      <c r="Z7" s="19">
        <v>13582</v>
      </c>
      <c r="AA7" s="19">
        <v>628587</v>
      </c>
      <c r="AB7" s="19">
        <v>29717</v>
      </c>
      <c r="AC7" s="19">
        <f>AVERAGE(AC2:AC6)</f>
        <v>173013</v>
      </c>
    </row>
    <row r="8" spans="1:29" x14ac:dyDescent="0.3">
      <c r="A8" s="27" t="s">
        <v>73</v>
      </c>
      <c r="B8" s="28">
        <v>16036</v>
      </c>
      <c r="C8" s="28">
        <v>1834</v>
      </c>
      <c r="D8" s="28">
        <v>460</v>
      </c>
      <c r="E8" s="29">
        <v>36</v>
      </c>
      <c r="F8" s="29">
        <v>18367</v>
      </c>
      <c r="G8" s="29">
        <v>246</v>
      </c>
      <c r="H8" s="29">
        <v>18613</v>
      </c>
      <c r="I8" s="29">
        <v>15471</v>
      </c>
      <c r="J8" s="29">
        <v>1924</v>
      </c>
      <c r="K8" s="28">
        <v>4415</v>
      </c>
      <c r="L8" s="28">
        <v>21810</v>
      </c>
      <c r="M8" s="28">
        <v>22057</v>
      </c>
      <c r="N8" s="28">
        <v>6505</v>
      </c>
      <c r="O8" s="28">
        <v>327</v>
      </c>
      <c r="P8" s="28">
        <v>2428</v>
      </c>
      <c r="Q8" s="28">
        <v>55</v>
      </c>
      <c r="R8" s="28">
        <v>1037</v>
      </c>
      <c r="S8" s="28">
        <v>7144</v>
      </c>
      <c r="T8" s="28">
        <v>12683</v>
      </c>
      <c r="U8" s="28">
        <v>2287</v>
      </c>
      <c r="V8" s="28">
        <v>4336</v>
      </c>
      <c r="W8" s="28">
        <v>36804</v>
      </c>
      <c r="X8" s="28">
        <v>77227</v>
      </c>
      <c r="Y8" s="28">
        <v>11372</v>
      </c>
      <c r="Z8" s="28">
        <v>1874</v>
      </c>
      <c r="AA8" s="28">
        <v>86725</v>
      </c>
      <c r="AB8" s="28">
        <v>6281</v>
      </c>
      <c r="AC8" s="28">
        <v>138085</v>
      </c>
    </row>
    <row r="9" spans="1:29" x14ac:dyDescent="0.3">
      <c r="A9" s="27" t="s">
        <v>74</v>
      </c>
      <c r="B9" s="28">
        <v>3724</v>
      </c>
      <c r="C9" s="28">
        <v>582</v>
      </c>
      <c r="D9" s="28">
        <v>177</v>
      </c>
      <c r="E9" s="29">
        <v>16</v>
      </c>
      <c r="F9" s="29">
        <v>4500</v>
      </c>
      <c r="G9" s="29">
        <v>73</v>
      </c>
      <c r="H9" s="29">
        <v>4572</v>
      </c>
      <c r="I9" s="29">
        <v>3783</v>
      </c>
      <c r="J9" s="29">
        <v>471</v>
      </c>
      <c r="K9" s="28">
        <v>1080</v>
      </c>
      <c r="L9" s="28">
        <v>5334</v>
      </c>
      <c r="M9" s="28">
        <v>5406</v>
      </c>
      <c r="N9" s="28">
        <v>1591</v>
      </c>
      <c r="O9" s="28">
        <v>80</v>
      </c>
      <c r="P9" s="28">
        <v>594</v>
      </c>
      <c r="Q9" s="28">
        <v>13</v>
      </c>
      <c r="R9" s="28">
        <v>254</v>
      </c>
      <c r="S9" s="28">
        <v>1747</v>
      </c>
      <c r="T9" s="28">
        <v>3102</v>
      </c>
      <c r="U9" s="28">
        <v>559</v>
      </c>
      <c r="V9" s="28">
        <v>1060</v>
      </c>
      <c r="W9" s="28">
        <v>9000</v>
      </c>
      <c r="X9" s="28">
        <v>18906</v>
      </c>
      <c r="Y9" s="28">
        <v>2784</v>
      </c>
      <c r="Z9" s="28">
        <v>459</v>
      </c>
      <c r="AA9" s="28">
        <v>21231</v>
      </c>
      <c r="AB9" s="28">
        <v>2100</v>
      </c>
      <c r="AC9" s="28">
        <v>101098</v>
      </c>
    </row>
    <row r="10" spans="1:29" x14ac:dyDescent="0.3">
      <c r="A10" s="27" t="s">
        <v>75</v>
      </c>
      <c r="B10" s="28">
        <v>2288</v>
      </c>
      <c r="C10" s="28">
        <v>608</v>
      </c>
      <c r="D10" s="28">
        <v>146</v>
      </c>
      <c r="E10" s="29">
        <v>44</v>
      </c>
      <c r="F10" s="29">
        <v>3086</v>
      </c>
      <c r="G10" s="29">
        <v>58</v>
      </c>
      <c r="H10" s="29">
        <v>3144</v>
      </c>
      <c r="I10" s="29">
        <v>1909</v>
      </c>
      <c r="J10" s="29">
        <v>237</v>
      </c>
      <c r="K10" s="28">
        <v>545</v>
      </c>
      <c r="L10" s="28">
        <v>2691</v>
      </c>
      <c r="M10" s="28">
        <v>2749</v>
      </c>
      <c r="N10" s="28">
        <v>802</v>
      </c>
      <c r="O10" s="28">
        <v>40</v>
      </c>
      <c r="P10" s="28">
        <v>300</v>
      </c>
      <c r="Q10" s="28">
        <v>7</v>
      </c>
      <c r="R10" s="28">
        <v>128</v>
      </c>
      <c r="S10" s="28">
        <v>881</v>
      </c>
      <c r="T10" s="28">
        <v>1565</v>
      </c>
      <c r="U10" s="28">
        <v>282</v>
      </c>
      <c r="V10" s="28">
        <v>535</v>
      </c>
      <c r="W10" s="28">
        <v>4540</v>
      </c>
      <c r="X10" s="28">
        <v>10374</v>
      </c>
      <c r="Y10" s="28">
        <v>1528</v>
      </c>
      <c r="Z10" s="28">
        <v>252</v>
      </c>
      <c r="AA10" s="28">
        <v>11651</v>
      </c>
      <c r="AB10" s="28">
        <v>1682</v>
      </c>
      <c r="AC10" s="28">
        <v>69253</v>
      </c>
    </row>
    <row r="11" spans="1:29" x14ac:dyDescent="0.3">
      <c r="A11" s="27" t="s">
        <v>76</v>
      </c>
      <c r="B11" s="28">
        <v>7461</v>
      </c>
      <c r="C11" s="28">
        <v>951</v>
      </c>
      <c r="D11" s="28">
        <v>306</v>
      </c>
      <c r="E11" s="29">
        <v>9</v>
      </c>
      <c r="F11" s="29">
        <v>8726</v>
      </c>
      <c r="G11" s="29">
        <v>20</v>
      </c>
      <c r="H11" s="29">
        <v>8746</v>
      </c>
      <c r="I11" s="29">
        <v>7560</v>
      </c>
      <c r="J11" s="29">
        <v>940</v>
      </c>
      <c r="K11" s="28">
        <v>2157</v>
      </c>
      <c r="L11" s="28">
        <v>10657</v>
      </c>
      <c r="M11" s="28">
        <v>10678</v>
      </c>
      <c r="N11" s="28">
        <v>3179</v>
      </c>
      <c r="O11" s="28">
        <v>160</v>
      </c>
      <c r="P11" s="28">
        <v>1187</v>
      </c>
      <c r="Q11" s="28">
        <v>27</v>
      </c>
      <c r="R11" s="28">
        <v>507</v>
      </c>
      <c r="S11" s="28">
        <v>3491</v>
      </c>
      <c r="T11" s="28">
        <v>6197</v>
      </c>
      <c r="U11" s="28">
        <v>1118</v>
      </c>
      <c r="V11" s="28">
        <v>2119</v>
      </c>
      <c r="W11" s="28">
        <v>17983</v>
      </c>
      <c r="X11" s="28">
        <v>37387</v>
      </c>
      <c r="Y11" s="28">
        <v>5506</v>
      </c>
      <c r="Z11" s="28">
        <v>907</v>
      </c>
      <c r="AA11" s="28">
        <v>41985</v>
      </c>
      <c r="AB11" s="28">
        <v>4336</v>
      </c>
      <c r="AC11" s="28">
        <v>96821</v>
      </c>
    </row>
    <row r="12" spans="1:29" x14ac:dyDescent="0.3">
      <c r="A12" s="27" t="s">
        <v>380</v>
      </c>
      <c r="B12" s="28">
        <v>7627</v>
      </c>
      <c r="C12" s="28">
        <v>4583</v>
      </c>
      <c r="D12" s="28">
        <v>562</v>
      </c>
      <c r="E12" s="29">
        <v>19</v>
      </c>
      <c r="F12" s="29">
        <v>12792</v>
      </c>
      <c r="G12" s="29">
        <v>123</v>
      </c>
      <c r="H12" s="29">
        <v>12915</v>
      </c>
      <c r="I12" s="29">
        <v>8999</v>
      </c>
      <c r="J12" s="29">
        <v>1119</v>
      </c>
      <c r="K12" s="28">
        <v>2568</v>
      </c>
      <c r="L12" s="28">
        <v>12686</v>
      </c>
      <c r="M12" s="28">
        <v>12809</v>
      </c>
      <c r="N12" s="28">
        <v>3784</v>
      </c>
      <c r="O12" s="28">
        <v>190</v>
      </c>
      <c r="P12" s="28">
        <v>1412</v>
      </c>
      <c r="Q12" s="28">
        <v>32</v>
      </c>
      <c r="R12" s="28">
        <v>603</v>
      </c>
      <c r="S12" s="28">
        <v>4155</v>
      </c>
      <c r="T12" s="28">
        <v>7377</v>
      </c>
      <c r="U12" s="28">
        <v>1330</v>
      </c>
      <c r="V12" s="28">
        <v>2522</v>
      </c>
      <c r="W12" s="28">
        <v>21407</v>
      </c>
      <c r="X12" s="28">
        <v>47007</v>
      </c>
      <c r="Y12" s="28">
        <v>6922</v>
      </c>
      <c r="Z12" s="28">
        <v>1141</v>
      </c>
      <c r="AA12" s="28">
        <v>52789</v>
      </c>
      <c r="AB12" s="28">
        <v>4642</v>
      </c>
      <c r="AC12" s="28">
        <v>113732</v>
      </c>
    </row>
    <row r="13" spans="1:29" s="2" customFormat="1" x14ac:dyDescent="0.3">
      <c r="A13" s="7" t="s">
        <v>408</v>
      </c>
      <c r="B13" s="8">
        <v>37136</v>
      </c>
      <c r="C13" s="8">
        <v>8558</v>
      </c>
      <c r="D13" s="8">
        <v>1651</v>
      </c>
      <c r="E13" s="8">
        <v>124</v>
      </c>
      <c r="F13" s="8">
        <v>47471</v>
      </c>
      <c r="G13" s="8">
        <v>520</v>
      </c>
      <c r="H13" s="8">
        <v>47990</v>
      </c>
      <c r="I13" s="8">
        <v>37722</v>
      </c>
      <c r="J13" s="8">
        <v>4691</v>
      </c>
      <c r="K13" s="8">
        <v>10765</v>
      </c>
      <c r="L13" s="8">
        <v>53178</v>
      </c>
      <c r="M13" s="8">
        <v>53699</v>
      </c>
      <c r="N13" s="8">
        <v>15861</v>
      </c>
      <c r="O13" s="8">
        <v>797</v>
      </c>
      <c r="P13" s="8">
        <v>5921</v>
      </c>
      <c r="Q13" s="8">
        <v>134</v>
      </c>
      <c r="R13" s="8">
        <v>2529</v>
      </c>
      <c r="S13" s="8">
        <v>17418</v>
      </c>
      <c r="T13" s="8">
        <v>30924</v>
      </c>
      <c r="U13" s="8">
        <v>5576</v>
      </c>
      <c r="V13" s="8">
        <v>10572</v>
      </c>
      <c r="W13" s="8">
        <v>89734</v>
      </c>
      <c r="X13" s="8">
        <v>190901</v>
      </c>
      <c r="Y13" s="8">
        <v>28112</v>
      </c>
      <c r="Z13" s="8">
        <v>4633</v>
      </c>
      <c r="AA13" s="8">
        <v>214381</v>
      </c>
      <c r="AB13" s="8">
        <v>19041</v>
      </c>
      <c r="AC13" s="8">
        <f>AVERAGE(AC8:AC12)</f>
        <v>103797.8</v>
      </c>
    </row>
    <row r="14" spans="1:29" x14ac:dyDescent="0.3">
      <c r="A14" s="9" t="s">
        <v>77</v>
      </c>
      <c r="B14" s="10">
        <v>8608</v>
      </c>
      <c r="C14" s="10">
        <v>4448</v>
      </c>
      <c r="D14" s="10">
        <v>884</v>
      </c>
      <c r="E14" s="11">
        <v>193</v>
      </c>
      <c r="F14" s="11">
        <v>14133</v>
      </c>
      <c r="G14" s="11">
        <v>363</v>
      </c>
      <c r="H14" s="11">
        <v>14496</v>
      </c>
      <c r="I14" s="11">
        <v>40452</v>
      </c>
      <c r="J14" s="11">
        <v>5031</v>
      </c>
      <c r="K14" s="10">
        <v>11545</v>
      </c>
      <c r="L14" s="10">
        <v>57028</v>
      </c>
      <c r="M14" s="10">
        <v>57391</v>
      </c>
      <c r="N14" s="10">
        <v>17009</v>
      </c>
      <c r="O14" s="10">
        <v>855</v>
      </c>
      <c r="P14" s="10">
        <v>6349</v>
      </c>
      <c r="Q14" s="10">
        <v>143</v>
      </c>
      <c r="R14" s="10">
        <v>2711</v>
      </c>
      <c r="S14" s="10">
        <v>18680</v>
      </c>
      <c r="T14" s="10">
        <v>33163</v>
      </c>
      <c r="U14" s="10">
        <v>5981</v>
      </c>
      <c r="V14" s="10">
        <v>11339</v>
      </c>
      <c r="W14" s="10">
        <v>96231</v>
      </c>
      <c r="X14" s="10">
        <v>167755</v>
      </c>
      <c r="Y14" s="10">
        <v>24704</v>
      </c>
      <c r="Z14" s="10">
        <v>4070</v>
      </c>
      <c r="AA14" s="10">
        <v>188389</v>
      </c>
      <c r="AB14" s="10">
        <v>9749</v>
      </c>
      <c r="AC14" s="10">
        <v>193231</v>
      </c>
    </row>
    <row r="15" spans="1:29" x14ac:dyDescent="0.3">
      <c r="A15" s="9" t="s">
        <v>78</v>
      </c>
      <c r="B15" s="10">
        <v>4485</v>
      </c>
      <c r="C15" s="10">
        <v>2202</v>
      </c>
      <c r="D15" s="10">
        <v>517</v>
      </c>
      <c r="E15" s="11">
        <v>1</v>
      </c>
      <c r="F15" s="11">
        <v>7206</v>
      </c>
      <c r="G15" s="11">
        <v>141</v>
      </c>
      <c r="H15" s="11">
        <v>7347</v>
      </c>
      <c r="I15" s="11">
        <v>6617</v>
      </c>
      <c r="J15" s="11">
        <v>823</v>
      </c>
      <c r="K15" s="10">
        <v>1888</v>
      </c>
      <c r="L15" s="10">
        <v>9328</v>
      </c>
      <c r="M15" s="10">
        <v>9469</v>
      </c>
      <c r="N15" s="10">
        <v>2782</v>
      </c>
      <c r="O15" s="10">
        <v>140</v>
      </c>
      <c r="P15" s="10">
        <v>1039</v>
      </c>
      <c r="Q15" s="10">
        <v>23</v>
      </c>
      <c r="R15" s="10">
        <v>443</v>
      </c>
      <c r="S15" s="10">
        <v>3055</v>
      </c>
      <c r="T15" s="10">
        <v>5424</v>
      </c>
      <c r="U15" s="10">
        <v>978</v>
      </c>
      <c r="V15" s="10">
        <v>1855</v>
      </c>
      <c r="W15" s="10">
        <v>15740</v>
      </c>
      <c r="X15" s="10">
        <v>32415</v>
      </c>
      <c r="Y15" s="10">
        <v>4773</v>
      </c>
      <c r="Z15" s="10">
        <v>787</v>
      </c>
      <c r="AA15" s="10">
        <v>36402</v>
      </c>
      <c r="AB15" s="10">
        <v>3068</v>
      </c>
      <c r="AC15" s="10">
        <v>118657</v>
      </c>
    </row>
    <row r="16" spans="1:29" x14ac:dyDescent="0.3">
      <c r="A16" s="9" t="s">
        <v>79</v>
      </c>
      <c r="B16" s="10">
        <v>5054</v>
      </c>
      <c r="C16" s="10">
        <v>2658</v>
      </c>
      <c r="D16" s="10">
        <v>857</v>
      </c>
      <c r="E16" s="11">
        <v>0</v>
      </c>
      <c r="F16" s="11">
        <v>8569</v>
      </c>
      <c r="G16" s="11">
        <v>157</v>
      </c>
      <c r="H16" s="11">
        <v>8727</v>
      </c>
      <c r="I16" s="11">
        <v>6265</v>
      </c>
      <c r="J16" s="11">
        <v>779</v>
      </c>
      <c r="K16" s="10">
        <v>1788</v>
      </c>
      <c r="L16" s="10">
        <v>8832</v>
      </c>
      <c r="M16" s="10">
        <v>8989</v>
      </c>
      <c r="N16" s="10">
        <v>2634</v>
      </c>
      <c r="O16" s="10">
        <v>132</v>
      </c>
      <c r="P16" s="10">
        <v>983</v>
      </c>
      <c r="Q16" s="10">
        <v>22</v>
      </c>
      <c r="R16" s="10">
        <v>420</v>
      </c>
      <c r="S16" s="10">
        <v>2893</v>
      </c>
      <c r="T16" s="10">
        <v>5136</v>
      </c>
      <c r="U16" s="10">
        <v>926</v>
      </c>
      <c r="V16" s="10">
        <v>1756</v>
      </c>
      <c r="W16" s="10">
        <v>14904</v>
      </c>
      <c r="X16" s="10">
        <v>32462</v>
      </c>
      <c r="Y16" s="10">
        <v>4780</v>
      </c>
      <c r="Z16" s="10">
        <v>788</v>
      </c>
      <c r="AA16" s="10">
        <v>36455</v>
      </c>
      <c r="AB16" s="10">
        <v>2888</v>
      </c>
      <c r="AC16" s="10">
        <v>126237</v>
      </c>
    </row>
    <row r="17" spans="1:29" x14ac:dyDescent="0.3">
      <c r="A17" s="9" t="s">
        <v>80</v>
      </c>
      <c r="B17" s="10">
        <v>5742</v>
      </c>
      <c r="C17" s="10">
        <v>2197</v>
      </c>
      <c r="D17" s="10">
        <v>571</v>
      </c>
      <c r="E17" s="11">
        <v>9</v>
      </c>
      <c r="F17" s="11">
        <v>8518</v>
      </c>
      <c r="G17" s="11">
        <v>177</v>
      </c>
      <c r="H17" s="11">
        <v>8696</v>
      </c>
      <c r="I17" s="11">
        <v>10235</v>
      </c>
      <c r="J17" s="11">
        <v>1273</v>
      </c>
      <c r="K17" s="10">
        <v>2921</v>
      </c>
      <c r="L17" s="10">
        <v>14429</v>
      </c>
      <c r="M17" s="10">
        <v>14607</v>
      </c>
      <c r="N17" s="10">
        <v>4304</v>
      </c>
      <c r="O17" s="10">
        <v>216</v>
      </c>
      <c r="P17" s="10">
        <v>1606</v>
      </c>
      <c r="Q17" s="10">
        <v>36</v>
      </c>
      <c r="R17" s="10">
        <v>686</v>
      </c>
      <c r="S17" s="10">
        <v>4727</v>
      </c>
      <c r="T17" s="10">
        <v>8391</v>
      </c>
      <c r="U17" s="10">
        <v>1513</v>
      </c>
      <c r="V17" s="10">
        <v>2869</v>
      </c>
      <c r="W17" s="10">
        <v>24349</v>
      </c>
      <c r="X17" s="10">
        <v>47474</v>
      </c>
      <c r="Y17" s="10">
        <v>6991</v>
      </c>
      <c r="Z17" s="10">
        <v>1152</v>
      </c>
      <c r="AA17" s="10">
        <v>53313</v>
      </c>
      <c r="AB17" s="10">
        <v>4427</v>
      </c>
      <c r="AC17" s="10">
        <v>120420</v>
      </c>
    </row>
    <row r="18" spans="1:29" x14ac:dyDescent="0.3">
      <c r="A18" s="9" t="s">
        <v>81</v>
      </c>
      <c r="B18" s="10">
        <v>5761</v>
      </c>
      <c r="C18" s="10">
        <v>2484</v>
      </c>
      <c r="D18" s="10">
        <v>562</v>
      </c>
      <c r="E18" s="11">
        <v>1</v>
      </c>
      <c r="F18" s="11">
        <v>8809</v>
      </c>
      <c r="G18" s="11">
        <v>70</v>
      </c>
      <c r="H18" s="11">
        <v>8879</v>
      </c>
      <c r="I18" s="11">
        <v>11206</v>
      </c>
      <c r="J18" s="11">
        <v>1394</v>
      </c>
      <c r="K18" s="10">
        <v>3198</v>
      </c>
      <c r="L18" s="10">
        <v>15798</v>
      </c>
      <c r="M18" s="10">
        <v>15868</v>
      </c>
      <c r="N18" s="10">
        <v>4712</v>
      </c>
      <c r="O18" s="10">
        <v>237</v>
      </c>
      <c r="P18" s="10">
        <v>1759</v>
      </c>
      <c r="Q18" s="10">
        <v>40</v>
      </c>
      <c r="R18" s="10">
        <v>751</v>
      </c>
      <c r="S18" s="10">
        <v>5175</v>
      </c>
      <c r="T18" s="10">
        <v>9187</v>
      </c>
      <c r="U18" s="10">
        <v>1657</v>
      </c>
      <c r="V18" s="10">
        <v>3141</v>
      </c>
      <c r="W18" s="10">
        <v>26658</v>
      </c>
      <c r="X18" s="10">
        <v>51335</v>
      </c>
      <c r="Y18" s="10">
        <v>7560</v>
      </c>
      <c r="Z18" s="10">
        <v>1246</v>
      </c>
      <c r="AA18" s="10">
        <v>57649</v>
      </c>
      <c r="AB18" s="10">
        <v>3973</v>
      </c>
      <c r="AC18" s="10">
        <v>145084</v>
      </c>
    </row>
    <row r="19" spans="1:29" s="2" customFormat="1" x14ac:dyDescent="0.3">
      <c r="A19" s="12" t="s">
        <v>404</v>
      </c>
      <c r="B19" s="13">
        <v>29650</v>
      </c>
      <c r="C19" s="13">
        <v>13989</v>
      </c>
      <c r="D19" s="13">
        <v>3391</v>
      </c>
      <c r="E19" s="13">
        <v>204</v>
      </c>
      <c r="F19" s="13">
        <v>47235</v>
      </c>
      <c r="G19" s="13">
        <v>908</v>
      </c>
      <c r="H19" s="13">
        <v>48145</v>
      </c>
      <c r="I19" s="13">
        <v>74775</v>
      </c>
      <c r="J19" s="13">
        <v>9300</v>
      </c>
      <c r="K19" s="13">
        <v>21340</v>
      </c>
      <c r="L19" s="13">
        <v>105415</v>
      </c>
      <c r="M19" s="13">
        <v>106324</v>
      </c>
      <c r="N19" s="13">
        <v>31441</v>
      </c>
      <c r="O19" s="13">
        <v>1580</v>
      </c>
      <c r="P19" s="13">
        <v>11736</v>
      </c>
      <c r="Q19" s="13">
        <v>264</v>
      </c>
      <c r="R19" s="13">
        <v>5011</v>
      </c>
      <c r="S19" s="13">
        <v>34530</v>
      </c>
      <c r="T19" s="13">
        <v>61301</v>
      </c>
      <c r="U19" s="13">
        <v>11055</v>
      </c>
      <c r="V19" s="13">
        <v>20960</v>
      </c>
      <c r="W19" s="13">
        <v>177882</v>
      </c>
      <c r="X19" s="13">
        <v>331441</v>
      </c>
      <c r="Y19" s="13">
        <v>48808</v>
      </c>
      <c r="Z19" s="13">
        <v>8043</v>
      </c>
      <c r="AA19" s="13">
        <v>372208</v>
      </c>
      <c r="AB19" s="13">
        <v>24105</v>
      </c>
      <c r="AC19" s="13">
        <f>AVERAGE(AC14:AC18)</f>
        <v>140725.79999999999</v>
      </c>
    </row>
    <row r="20" spans="1:29" x14ac:dyDescent="0.3">
      <c r="A20" s="31" t="s">
        <v>82</v>
      </c>
      <c r="B20" s="32">
        <v>4516</v>
      </c>
      <c r="C20" s="32">
        <v>1197</v>
      </c>
      <c r="D20" s="32">
        <v>408</v>
      </c>
      <c r="E20" s="33">
        <v>16</v>
      </c>
      <c r="F20" s="33">
        <v>6137</v>
      </c>
      <c r="G20" s="33">
        <v>103</v>
      </c>
      <c r="H20" s="33">
        <v>6240</v>
      </c>
      <c r="I20" s="33">
        <v>9015</v>
      </c>
      <c r="J20" s="33">
        <v>1121</v>
      </c>
      <c r="K20" s="32">
        <v>2573</v>
      </c>
      <c r="L20" s="32">
        <v>12709</v>
      </c>
      <c r="M20" s="32">
        <v>12812</v>
      </c>
      <c r="N20" s="32">
        <v>3790</v>
      </c>
      <c r="O20" s="32">
        <v>191</v>
      </c>
      <c r="P20" s="32">
        <v>1415</v>
      </c>
      <c r="Q20" s="32">
        <v>32</v>
      </c>
      <c r="R20" s="32">
        <v>604</v>
      </c>
      <c r="S20" s="32">
        <v>4163</v>
      </c>
      <c r="T20" s="32">
        <v>7390</v>
      </c>
      <c r="U20" s="32">
        <v>1333</v>
      </c>
      <c r="V20" s="32">
        <v>2527</v>
      </c>
      <c r="W20" s="32">
        <v>21445</v>
      </c>
      <c r="X20" s="32">
        <v>40394</v>
      </c>
      <c r="Y20" s="32">
        <v>5949</v>
      </c>
      <c r="Z20" s="32">
        <v>980</v>
      </c>
      <c r="AA20" s="32">
        <v>45363</v>
      </c>
      <c r="AB20" s="32">
        <v>3808</v>
      </c>
      <c r="AC20" s="32">
        <v>119133</v>
      </c>
    </row>
    <row r="21" spans="1:29" x14ac:dyDescent="0.3">
      <c r="A21" s="31" t="s">
        <v>83</v>
      </c>
      <c r="B21" s="32">
        <v>6169</v>
      </c>
      <c r="C21" s="32">
        <v>550</v>
      </c>
      <c r="D21" s="32">
        <v>527</v>
      </c>
      <c r="E21" s="33">
        <v>1</v>
      </c>
      <c r="F21" s="33">
        <v>7247</v>
      </c>
      <c r="G21" s="33">
        <v>105</v>
      </c>
      <c r="H21" s="33">
        <v>7352</v>
      </c>
      <c r="I21" s="33">
        <v>2897</v>
      </c>
      <c r="J21" s="33">
        <v>360</v>
      </c>
      <c r="K21" s="32">
        <v>827</v>
      </c>
      <c r="L21" s="32">
        <v>4084</v>
      </c>
      <c r="M21" s="32">
        <v>4189</v>
      </c>
      <c r="N21" s="32">
        <v>1218</v>
      </c>
      <c r="O21" s="32">
        <v>61</v>
      </c>
      <c r="P21" s="32">
        <v>455</v>
      </c>
      <c r="Q21" s="32">
        <v>10</v>
      </c>
      <c r="R21" s="32">
        <v>194</v>
      </c>
      <c r="S21" s="32">
        <v>1338</v>
      </c>
      <c r="T21" s="32">
        <v>2375</v>
      </c>
      <c r="U21" s="32">
        <v>428</v>
      </c>
      <c r="V21" s="32">
        <v>812</v>
      </c>
      <c r="W21" s="32">
        <v>6891</v>
      </c>
      <c r="X21" s="32">
        <v>18328</v>
      </c>
      <c r="Y21" s="32">
        <v>2699</v>
      </c>
      <c r="Z21" s="32">
        <v>445</v>
      </c>
      <c r="AA21" s="32">
        <v>20582</v>
      </c>
      <c r="AB21" s="32">
        <v>2001</v>
      </c>
      <c r="AC21" s="32">
        <v>102858</v>
      </c>
    </row>
    <row r="22" spans="1:29" x14ac:dyDescent="0.3">
      <c r="A22" s="31" t="s">
        <v>84</v>
      </c>
      <c r="B22" s="32">
        <v>3624</v>
      </c>
      <c r="C22" s="32">
        <v>601</v>
      </c>
      <c r="D22" s="32">
        <v>135</v>
      </c>
      <c r="E22" s="33">
        <v>9</v>
      </c>
      <c r="F22" s="33">
        <v>4370</v>
      </c>
      <c r="G22" s="33">
        <v>187</v>
      </c>
      <c r="H22" s="33">
        <v>4558</v>
      </c>
      <c r="I22" s="33">
        <v>2908</v>
      </c>
      <c r="J22" s="33">
        <v>362</v>
      </c>
      <c r="K22" s="32">
        <v>830</v>
      </c>
      <c r="L22" s="32">
        <v>4100</v>
      </c>
      <c r="M22" s="32">
        <v>4287</v>
      </c>
      <c r="N22" s="32">
        <v>1223</v>
      </c>
      <c r="O22" s="32">
        <v>61</v>
      </c>
      <c r="P22" s="32">
        <v>456</v>
      </c>
      <c r="Q22" s="32">
        <v>10</v>
      </c>
      <c r="R22" s="32">
        <v>195</v>
      </c>
      <c r="S22" s="32">
        <v>1343</v>
      </c>
      <c r="T22" s="32">
        <v>2384</v>
      </c>
      <c r="U22" s="32">
        <v>430</v>
      </c>
      <c r="V22" s="32">
        <v>815</v>
      </c>
      <c r="W22" s="32">
        <v>6918</v>
      </c>
      <c r="X22" s="32">
        <v>15575</v>
      </c>
      <c r="Y22" s="32">
        <v>2294</v>
      </c>
      <c r="Z22" s="32">
        <v>378</v>
      </c>
      <c r="AA22" s="32">
        <v>17491</v>
      </c>
      <c r="AB22" s="32">
        <v>1882</v>
      </c>
      <c r="AC22" s="32">
        <v>92945</v>
      </c>
    </row>
    <row r="23" spans="1:29" x14ac:dyDescent="0.3">
      <c r="A23" s="31" t="s">
        <v>85</v>
      </c>
      <c r="B23" s="32">
        <v>1869</v>
      </c>
      <c r="C23" s="32">
        <v>233</v>
      </c>
      <c r="D23" s="32">
        <v>98</v>
      </c>
      <c r="E23" s="33">
        <v>9</v>
      </c>
      <c r="F23" s="33">
        <v>2209</v>
      </c>
      <c r="G23" s="33">
        <v>97</v>
      </c>
      <c r="H23" s="33">
        <v>2305</v>
      </c>
      <c r="I23" s="33">
        <v>1382</v>
      </c>
      <c r="J23" s="33">
        <v>172</v>
      </c>
      <c r="K23" s="32">
        <v>394</v>
      </c>
      <c r="L23" s="32">
        <v>1948</v>
      </c>
      <c r="M23" s="32">
        <v>2044</v>
      </c>
      <c r="N23" s="32">
        <v>581</v>
      </c>
      <c r="O23" s="32">
        <v>29</v>
      </c>
      <c r="P23" s="32">
        <v>217</v>
      </c>
      <c r="Q23" s="32">
        <v>5</v>
      </c>
      <c r="R23" s="32">
        <v>93</v>
      </c>
      <c r="S23" s="32">
        <v>638</v>
      </c>
      <c r="T23" s="32">
        <v>1133</v>
      </c>
      <c r="U23" s="32">
        <v>204</v>
      </c>
      <c r="V23" s="32">
        <v>387</v>
      </c>
      <c r="W23" s="32">
        <v>3287</v>
      </c>
      <c r="X23" s="32">
        <v>7540</v>
      </c>
      <c r="Y23" s="32">
        <v>1110</v>
      </c>
      <c r="Z23" s="32">
        <v>183</v>
      </c>
      <c r="AA23" s="32">
        <v>8467</v>
      </c>
      <c r="AB23" s="32">
        <v>1201</v>
      </c>
      <c r="AC23" s="32">
        <v>70493</v>
      </c>
    </row>
    <row r="24" spans="1:29" x14ac:dyDescent="0.3">
      <c r="A24" s="31" t="s">
        <v>86</v>
      </c>
      <c r="B24" s="32">
        <v>3258</v>
      </c>
      <c r="C24" s="32">
        <v>1313</v>
      </c>
      <c r="D24" s="32">
        <v>232</v>
      </c>
      <c r="E24" s="33">
        <v>6</v>
      </c>
      <c r="F24" s="33">
        <v>4810</v>
      </c>
      <c r="G24" s="33">
        <v>197</v>
      </c>
      <c r="H24" s="33">
        <v>5007</v>
      </c>
      <c r="I24" s="33">
        <v>3851</v>
      </c>
      <c r="J24" s="33">
        <v>479</v>
      </c>
      <c r="K24" s="32">
        <v>1099</v>
      </c>
      <c r="L24" s="32">
        <v>5430</v>
      </c>
      <c r="M24" s="32">
        <v>5627</v>
      </c>
      <c r="N24" s="32">
        <v>1619</v>
      </c>
      <c r="O24" s="32">
        <v>81</v>
      </c>
      <c r="P24" s="32">
        <v>605</v>
      </c>
      <c r="Q24" s="32">
        <v>14</v>
      </c>
      <c r="R24" s="32">
        <v>258</v>
      </c>
      <c r="S24" s="32">
        <v>1779</v>
      </c>
      <c r="T24" s="32">
        <v>3157</v>
      </c>
      <c r="U24" s="32">
        <v>569</v>
      </c>
      <c r="V24" s="32">
        <v>1080</v>
      </c>
      <c r="W24" s="32">
        <v>9162</v>
      </c>
      <c r="X24" s="32">
        <v>19599</v>
      </c>
      <c r="Y24" s="32">
        <v>2886</v>
      </c>
      <c r="Z24" s="32">
        <v>476</v>
      </c>
      <c r="AA24" s="32">
        <v>22009</v>
      </c>
      <c r="AB24" s="32">
        <v>2641</v>
      </c>
      <c r="AC24" s="32">
        <v>83340</v>
      </c>
    </row>
    <row r="25" spans="1:29" x14ac:dyDescent="0.3">
      <c r="A25" s="31" t="s">
        <v>87</v>
      </c>
      <c r="B25" s="32">
        <v>3627</v>
      </c>
      <c r="C25" s="32">
        <v>1132</v>
      </c>
      <c r="D25" s="32">
        <v>511</v>
      </c>
      <c r="E25" s="33">
        <v>58</v>
      </c>
      <c r="F25" s="33">
        <v>5328</v>
      </c>
      <c r="G25" s="33">
        <v>261</v>
      </c>
      <c r="H25" s="33">
        <v>5589</v>
      </c>
      <c r="I25" s="33">
        <v>5671</v>
      </c>
      <c r="J25" s="33">
        <v>705</v>
      </c>
      <c r="K25" s="32">
        <v>1618</v>
      </c>
      <c r="L25" s="32">
        <v>7995</v>
      </c>
      <c r="M25" s="32">
        <v>8255</v>
      </c>
      <c r="N25" s="32">
        <v>2384</v>
      </c>
      <c r="O25" s="32">
        <v>120</v>
      </c>
      <c r="P25" s="32">
        <v>890</v>
      </c>
      <c r="Q25" s="32">
        <v>20</v>
      </c>
      <c r="R25" s="32">
        <v>380</v>
      </c>
      <c r="S25" s="32">
        <v>2619</v>
      </c>
      <c r="T25" s="32">
        <v>4649</v>
      </c>
      <c r="U25" s="32">
        <v>838</v>
      </c>
      <c r="V25" s="32">
        <v>1590</v>
      </c>
      <c r="W25" s="32">
        <v>13490</v>
      </c>
      <c r="X25" s="32">
        <v>27074</v>
      </c>
      <c r="Y25" s="32">
        <v>3987</v>
      </c>
      <c r="Z25" s="32">
        <v>657</v>
      </c>
      <c r="AA25" s="32">
        <v>30404</v>
      </c>
      <c r="AB25" s="32">
        <v>3441</v>
      </c>
      <c r="AC25" s="32">
        <v>88351</v>
      </c>
    </row>
    <row r="26" spans="1:29" x14ac:dyDescent="0.3">
      <c r="A26" s="31" t="s">
        <v>88</v>
      </c>
      <c r="B26" s="32">
        <v>3978</v>
      </c>
      <c r="C26" s="32">
        <v>1075</v>
      </c>
      <c r="D26" s="32">
        <v>204</v>
      </c>
      <c r="E26" s="33">
        <v>14</v>
      </c>
      <c r="F26" s="33">
        <v>5271</v>
      </c>
      <c r="G26" s="33">
        <v>93</v>
      </c>
      <c r="H26" s="33">
        <v>5365</v>
      </c>
      <c r="I26" s="33">
        <v>2397</v>
      </c>
      <c r="J26" s="33">
        <v>298</v>
      </c>
      <c r="K26" s="32">
        <v>684</v>
      </c>
      <c r="L26" s="32">
        <v>3380</v>
      </c>
      <c r="M26" s="32">
        <v>3473</v>
      </c>
      <c r="N26" s="32">
        <v>1008</v>
      </c>
      <c r="O26" s="32">
        <v>51</v>
      </c>
      <c r="P26" s="32">
        <v>376</v>
      </c>
      <c r="Q26" s="32">
        <v>8</v>
      </c>
      <c r="R26" s="32">
        <v>161</v>
      </c>
      <c r="S26" s="32">
        <v>1107</v>
      </c>
      <c r="T26" s="32">
        <v>1965</v>
      </c>
      <c r="U26" s="32">
        <v>354</v>
      </c>
      <c r="V26" s="32">
        <v>672</v>
      </c>
      <c r="W26" s="32">
        <v>5703</v>
      </c>
      <c r="X26" s="32">
        <v>14447</v>
      </c>
      <c r="Y26" s="32">
        <v>2128</v>
      </c>
      <c r="Z26" s="32">
        <v>351</v>
      </c>
      <c r="AA26" s="32">
        <v>16224</v>
      </c>
      <c r="AB26" s="32">
        <v>1692</v>
      </c>
      <c r="AC26" s="32">
        <v>95893</v>
      </c>
    </row>
    <row r="27" spans="1:29" x14ac:dyDescent="0.3">
      <c r="A27" s="31" t="s">
        <v>89</v>
      </c>
      <c r="B27" s="32">
        <v>5075</v>
      </c>
      <c r="C27" s="32">
        <v>637</v>
      </c>
      <c r="D27" s="32">
        <v>943</v>
      </c>
      <c r="E27" s="33">
        <v>13</v>
      </c>
      <c r="F27" s="33">
        <v>6667</v>
      </c>
      <c r="G27" s="33">
        <v>33</v>
      </c>
      <c r="H27" s="33">
        <v>6700</v>
      </c>
      <c r="I27" s="33">
        <v>4264</v>
      </c>
      <c r="J27" s="33">
        <v>530</v>
      </c>
      <c r="K27" s="32">
        <v>1217</v>
      </c>
      <c r="L27" s="32">
        <v>6012</v>
      </c>
      <c r="M27" s="32">
        <v>6044</v>
      </c>
      <c r="N27" s="32">
        <v>1793</v>
      </c>
      <c r="O27" s="32">
        <v>90</v>
      </c>
      <c r="P27" s="32">
        <v>669</v>
      </c>
      <c r="Q27" s="32">
        <v>15</v>
      </c>
      <c r="R27" s="32">
        <v>286</v>
      </c>
      <c r="S27" s="32">
        <v>1969</v>
      </c>
      <c r="T27" s="32">
        <v>3496</v>
      </c>
      <c r="U27" s="32">
        <v>631</v>
      </c>
      <c r="V27" s="32">
        <v>1195</v>
      </c>
      <c r="W27" s="32">
        <v>10144</v>
      </c>
      <c r="X27" s="32">
        <v>22856</v>
      </c>
      <c r="Y27" s="32">
        <v>3366</v>
      </c>
      <c r="Z27" s="32">
        <v>555</v>
      </c>
      <c r="AA27" s="32">
        <v>25667</v>
      </c>
      <c r="AB27" s="32">
        <v>2511</v>
      </c>
      <c r="AC27" s="32">
        <v>102206</v>
      </c>
    </row>
    <row r="28" spans="1:29" s="2" customFormat="1" x14ac:dyDescent="0.3">
      <c r="A28" s="14" t="s">
        <v>403</v>
      </c>
      <c r="B28" s="15">
        <v>32116</v>
      </c>
      <c r="C28" s="15">
        <v>6738</v>
      </c>
      <c r="D28" s="15">
        <v>3058</v>
      </c>
      <c r="E28" s="15">
        <v>126</v>
      </c>
      <c r="F28" s="15">
        <v>42039</v>
      </c>
      <c r="G28" s="15">
        <v>1076</v>
      </c>
      <c r="H28" s="15">
        <v>43116</v>
      </c>
      <c r="I28" s="15">
        <v>32385</v>
      </c>
      <c r="J28" s="15">
        <v>4027</v>
      </c>
      <c r="K28" s="15">
        <v>9242</v>
      </c>
      <c r="L28" s="15">
        <v>45658</v>
      </c>
      <c r="M28" s="15">
        <v>46731</v>
      </c>
      <c r="N28" s="15">
        <v>13616</v>
      </c>
      <c r="O28" s="15">
        <v>684</v>
      </c>
      <c r="P28" s="15">
        <v>5083</v>
      </c>
      <c r="Q28" s="15">
        <v>114</v>
      </c>
      <c r="R28" s="15">
        <v>2171</v>
      </c>
      <c r="S28" s="15">
        <v>14956</v>
      </c>
      <c r="T28" s="15">
        <v>26549</v>
      </c>
      <c r="U28" s="15">
        <v>4787</v>
      </c>
      <c r="V28" s="15">
        <v>9078</v>
      </c>
      <c r="W28" s="15">
        <v>77040</v>
      </c>
      <c r="X28" s="15">
        <v>165813</v>
      </c>
      <c r="Y28" s="15">
        <v>24419</v>
      </c>
      <c r="Z28" s="15">
        <v>4025</v>
      </c>
      <c r="AA28" s="15">
        <v>186207</v>
      </c>
      <c r="AB28" s="15">
        <v>19177</v>
      </c>
      <c r="AC28" s="15">
        <f>AVERAGE(AC20:AC27)</f>
        <v>94402.375</v>
      </c>
    </row>
    <row r="29" spans="1:29" x14ac:dyDescent="0.3">
      <c r="A29" s="34" t="s">
        <v>90</v>
      </c>
      <c r="B29" s="35">
        <v>4527</v>
      </c>
      <c r="C29" s="35">
        <v>645</v>
      </c>
      <c r="D29" s="35">
        <v>205</v>
      </c>
      <c r="E29" s="35">
        <v>44</v>
      </c>
      <c r="F29" s="35">
        <v>5420</v>
      </c>
      <c r="G29" s="35">
        <v>46</v>
      </c>
      <c r="H29" s="35">
        <v>5467</v>
      </c>
      <c r="I29" s="35">
        <v>3253</v>
      </c>
      <c r="J29" s="35">
        <v>405</v>
      </c>
      <c r="K29" s="35">
        <v>928</v>
      </c>
      <c r="L29" s="35">
        <v>4586</v>
      </c>
      <c r="M29" s="35">
        <v>4633</v>
      </c>
      <c r="N29" s="35">
        <v>1368</v>
      </c>
      <c r="O29" s="35">
        <v>69</v>
      </c>
      <c r="P29" s="35">
        <v>511</v>
      </c>
      <c r="Q29" s="35">
        <v>12</v>
      </c>
      <c r="R29" s="35">
        <v>218</v>
      </c>
      <c r="S29" s="35">
        <v>1502</v>
      </c>
      <c r="T29" s="35">
        <v>2667</v>
      </c>
      <c r="U29" s="35">
        <v>481</v>
      </c>
      <c r="V29" s="35">
        <v>912</v>
      </c>
      <c r="W29" s="35">
        <v>7739</v>
      </c>
      <c r="X29" s="35">
        <v>17791</v>
      </c>
      <c r="Y29" s="35">
        <v>2620</v>
      </c>
      <c r="Z29" s="35">
        <v>432</v>
      </c>
      <c r="AA29" s="35">
        <v>19980</v>
      </c>
      <c r="AB29" s="35">
        <v>2643</v>
      </c>
      <c r="AC29" s="35">
        <v>75590</v>
      </c>
    </row>
    <row r="30" spans="1:29" x14ac:dyDescent="0.3">
      <c r="A30" s="34" t="s">
        <v>91</v>
      </c>
      <c r="B30" s="35">
        <v>2638</v>
      </c>
      <c r="C30" s="35">
        <v>309</v>
      </c>
      <c r="D30" s="35">
        <v>119</v>
      </c>
      <c r="E30" s="35">
        <v>27</v>
      </c>
      <c r="F30" s="35">
        <v>3093</v>
      </c>
      <c r="G30" s="35">
        <v>192</v>
      </c>
      <c r="H30" s="35">
        <v>3285</v>
      </c>
      <c r="I30" s="35">
        <v>3607</v>
      </c>
      <c r="J30" s="35">
        <v>449</v>
      </c>
      <c r="K30" s="35">
        <v>1029</v>
      </c>
      <c r="L30" s="35">
        <v>5085</v>
      </c>
      <c r="M30" s="35">
        <v>5278</v>
      </c>
      <c r="N30" s="35">
        <v>1517</v>
      </c>
      <c r="O30" s="35">
        <v>76</v>
      </c>
      <c r="P30" s="35">
        <v>566</v>
      </c>
      <c r="Q30" s="35">
        <v>13</v>
      </c>
      <c r="R30" s="35">
        <v>242</v>
      </c>
      <c r="S30" s="35">
        <v>1666</v>
      </c>
      <c r="T30" s="35">
        <v>2957</v>
      </c>
      <c r="U30" s="35">
        <v>533</v>
      </c>
      <c r="V30" s="35">
        <v>1011</v>
      </c>
      <c r="W30" s="35">
        <v>8581</v>
      </c>
      <c r="X30" s="35">
        <v>16951</v>
      </c>
      <c r="Y30" s="35">
        <v>2496</v>
      </c>
      <c r="Z30" s="35">
        <v>411</v>
      </c>
      <c r="AA30" s="35">
        <v>19036</v>
      </c>
      <c r="AB30" s="35">
        <v>1864</v>
      </c>
      <c r="AC30" s="35">
        <v>102134</v>
      </c>
    </row>
    <row r="31" spans="1:29" x14ac:dyDescent="0.3">
      <c r="A31" s="34" t="s">
        <v>92</v>
      </c>
      <c r="B31" s="35">
        <v>2498</v>
      </c>
      <c r="C31" s="35">
        <v>333</v>
      </c>
      <c r="D31" s="35">
        <v>96</v>
      </c>
      <c r="E31" s="35">
        <v>39</v>
      </c>
      <c r="F31" s="35">
        <v>2966</v>
      </c>
      <c r="G31" s="35">
        <v>42</v>
      </c>
      <c r="H31" s="35">
        <v>3009</v>
      </c>
      <c r="I31" s="35">
        <v>1309</v>
      </c>
      <c r="J31" s="35">
        <v>163</v>
      </c>
      <c r="K31" s="35">
        <v>374</v>
      </c>
      <c r="L31" s="35">
        <v>1845</v>
      </c>
      <c r="M31" s="35">
        <v>1888</v>
      </c>
      <c r="N31" s="35">
        <v>550</v>
      </c>
      <c r="O31" s="35">
        <v>28</v>
      </c>
      <c r="P31" s="35">
        <v>205</v>
      </c>
      <c r="Q31" s="35">
        <v>5</v>
      </c>
      <c r="R31" s="35">
        <v>88</v>
      </c>
      <c r="S31" s="35">
        <v>604</v>
      </c>
      <c r="T31" s="35">
        <v>1073</v>
      </c>
      <c r="U31" s="35">
        <v>194</v>
      </c>
      <c r="V31" s="35">
        <v>367</v>
      </c>
      <c r="W31" s="35">
        <v>3114</v>
      </c>
      <c r="X31" s="35">
        <v>7968</v>
      </c>
      <c r="Y31" s="35">
        <v>1173</v>
      </c>
      <c r="Z31" s="35">
        <v>193</v>
      </c>
      <c r="AA31" s="35">
        <v>8948</v>
      </c>
      <c r="AB31" s="35">
        <v>1222</v>
      </c>
      <c r="AC31" s="35">
        <v>73207</v>
      </c>
    </row>
    <row r="32" spans="1:29" x14ac:dyDescent="0.3">
      <c r="A32" s="34" t="s">
        <v>93</v>
      </c>
      <c r="B32" s="35">
        <v>4446</v>
      </c>
      <c r="C32" s="35">
        <v>459</v>
      </c>
      <c r="D32" s="35">
        <v>435</v>
      </c>
      <c r="E32" s="35">
        <v>36</v>
      </c>
      <c r="F32" s="35">
        <v>5376</v>
      </c>
      <c r="G32" s="35">
        <v>55</v>
      </c>
      <c r="H32" s="35">
        <v>5431</v>
      </c>
      <c r="I32" s="35">
        <v>5184</v>
      </c>
      <c r="J32" s="35">
        <v>645</v>
      </c>
      <c r="K32" s="35">
        <v>1479</v>
      </c>
      <c r="L32" s="35">
        <v>7308</v>
      </c>
      <c r="M32" s="35">
        <v>7363</v>
      </c>
      <c r="N32" s="35">
        <v>2180</v>
      </c>
      <c r="O32" s="35">
        <v>110</v>
      </c>
      <c r="P32" s="35">
        <v>814</v>
      </c>
      <c r="Q32" s="35">
        <v>18</v>
      </c>
      <c r="R32" s="35">
        <v>347</v>
      </c>
      <c r="S32" s="35">
        <v>2394</v>
      </c>
      <c r="T32" s="35">
        <v>4250</v>
      </c>
      <c r="U32" s="35">
        <v>766</v>
      </c>
      <c r="V32" s="35">
        <v>1453</v>
      </c>
      <c r="W32" s="35">
        <v>12332</v>
      </c>
      <c r="X32" s="35">
        <v>25070</v>
      </c>
      <c r="Y32" s="35">
        <v>3692</v>
      </c>
      <c r="Z32" s="35">
        <v>608</v>
      </c>
      <c r="AA32" s="35">
        <v>28154</v>
      </c>
      <c r="AB32" s="35">
        <v>2965</v>
      </c>
      <c r="AC32" s="35">
        <v>94963</v>
      </c>
    </row>
    <row r="33" spans="1:29" x14ac:dyDescent="0.3">
      <c r="A33" s="34" t="s">
        <v>94</v>
      </c>
      <c r="B33" s="35">
        <v>3081</v>
      </c>
      <c r="C33" s="35">
        <v>421</v>
      </c>
      <c r="D33" s="35">
        <v>648</v>
      </c>
      <c r="E33" s="35">
        <v>84</v>
      </c>
      <c r="F33" s="35">
        <v>4234</v>
      </c>
      <c r="G33" s="35">
        <v>1240</v>
      </c>
      <c r="H33" s="35">
        <v>5474</v>
      </c>
      <c r="I33" s="35">
        <v>3661</v>
      </c>
      <c r="J33" s="35">
        <v>455</v>
      </c>
      <c r="K33" s="35">
        <v>1045</v>
      </c>
      <c r="L33" s="35">
        <v>5162</v>
      </c>
      <c r="M33" s="35">
        <v>6402</v>
      </c>
      <c r="N33" s="35">
        <v>1540</v>
      </c>
      <c r="O33" s="35">
        <v>77</v>
      </c>
      <c r="P33" s="35">
        <v>575</v>
      </c>
      <c r="Q33" s="35">
        <v>13</v>
      </c>
      <c r="R33" s="35">
        <v>245</v>
      </c>
      <c r="S33" s="35">
        <v>1691</v>
      </c>
      <c r="T33" s="35">
        <v>3002</v>
      </c>
      <c r="U33" s="35">
        <v>541</v>
      </c>
      <c r="V33" s="35">
        <v>1026</v>
      </c>
      <c r="W33" s="35">
        <v>8710</v>
      </c>
      <c r="X33" s="35">
        <v>19346</v>
      </c>
      <c r="Y33" s="35">
        <v>2849</v>
      </c>
      <c r="Z33" s="35">
        <v>469</v>
      </c>
      <c r="AA33" s="35">
        <v>21725</v>
      </c>
      <c r="AB33" s="35">
        <v>2834</v>
      </c>
      <c r="AC33" s="35">
        <v>76669</v>
      </c>
    </row>
    <row r="34" spans="1:29" s="2" customFormat="1" x14ac:dyDescent="0.3">
      <c r="A34" s="16" t="s">
        <v>407</v>
      </c>
      <c r="B34" s="17">
        <v>17190</v>
      </c>
      <c r="C34" s="17">
        <v>2167</v>
      </c>
      <c r="D34" s="17">
        <v>1503</v>
      </c>
      <c r="E34" s="17">
        <v>230</v>
      </c>
      <c r="F34" s="17">
        <v>21089</v>
      </c>
      <c r="G34" s="17">
        <v>1575</v>
      </c>
      <c r="H34" s="17">
        <v>22666</v>
      </c>
      <c r="I34" s="17">
        <v>17014</v>
      </c>
      <c r="J34" s="17">
        <v>2117</v>
      </c>
      <c r="K34" s="17">
        <v>4855</v>
      </c>
      <c r="L34" s="17">
        <v>23986</v>
      </c>
      <c r="M34" s="17">
        <v>25564</v>
      </c>
      <c r="N34" s="17">
        <v>7155</v>
      </c>
      <c r="O34" s="17">
        <v>360</v>
      </c>
      <c r="P34" s="17">
        <v>2671</v>
      </c>
      <c r="Q34" s="17">
        <v>61</v>
      </c>
      <c r="R34" s="17">
        <v>1140</v>
      </c>
      <c r="S34" s="17">
        <v>7857</v>
      </c>
      <c r="T34" s="17">
        <v>13949</v>
      </c>
      <c r="U34" s="17">
        <v>2515</v>
      </c>
      <c r="V34" s="17">
        <v>4769</v>
      </c>
      <c r="W34" s="17">
        <v>40476</v>
      </c>
      <c r="X34" s="17">
        <v>87126</v>
      </c>
      <c r="Y34" s="17">
        <v>12830</v>
      </c>
      <c r="Z34" s="17">
        <v>2113</v>
      </c>
      <c r="AA34" s="17">
        <v>97843</v>
      </c>
      <c r="AB34" s="17">
        <v>11528</v>
      </c>
      <c r="AC34" s="17">
        <f>AVERAGE(AC29:AC33)</f>
        <v>84512.6</v>
      </c>
    </row>
    <row r="35" spans="1:29" x14ac:dyDescent="0.3">
      <c r="A35" s="20" t="s">
        <v>95</v>
      </c>
      <c r="B35" s="21">
        <v>1389</v>
      </c>
      <c r="C35" s="21">
        <v>316</v>
      </c>
      <c r="D35" s="21">
        <v>427</v>
      </c>
      <c r="E35" s="21">
        <v>31</v>
      </c>
      <c r="F35" s="21">
        <v>2164</v>
      </c>
      <c r="G35" s="21">
        <v>40</v>
      </c>
      <c r="H35" s="21">
        <v>2204</v>
      </c>
      <c r="I35" s="21">
        <v>2713</v>
      </c>
      <c r="J35" s="21">
        <v>337</v>
      </c>
      <c r="K35" s="21">
        <v>774</v>
      </c>
      <c r="L35" s="21">
        <v>3824</v>
      </c>
      <c r="M35" s="21">
        <v>3864</v>
      </c>
      <c r="N35" s="21">
        <v>1141</v>
      </c>
      <c r="O35" s="21">
        <v>57</v>
      </c>
      <c r="P35" s="21">
        <v>426</v>
      </c>
      <c r="Q35" s="21">
        <v>10</v>
      </c>
      <c r="R35" s="21">
        <v>182</v>
      </c>
      <c r="S35" s="21">
        <v>1253</v>
      </c>
      <c r="T35" s="21">
        <v>2224</v>
      </c>
      <c r="U35" s="21">
        <v>401</v>
      </c>
      <c r="V35" s="21">
        <v>760</v>
      </c>
      <c r="W35" s="21">
        <v>6453</v>
      </c>
      <c r="X35" s="21">
        <v>12481</v>
      </c>
      <c r="Y35" s="21">
        <v>1838</v>
      </c>
      <c r="Z35" s="21">
        <v>303</v>
      </c>
      <c r="AA35" s="21">
        <v>14016</v>
      </c>
      <c r="AB35" s="21">
        <v>1334</v>
      </c>
      <c r="AC35" s="21">
        <v>105080</v>
      </c>
    </row>
    <row r="36" spans="1:29" x14ac:dyDescent="0.3">
      <c r="A36" s="20" t="s">
        <v>96</v>
      </c>
      <c r="B36" s="21">
        <v>2668</v>
      </c>
      <c r="C36" s="21">
        <v>577</v>
      </c>
      <c r="D36" s="21">
        <v>490</v>
      </c>
      <c r="E36" s="21">
        <v>145</v>
      </c>
      <c r="F36" s="21">
        <v>3880</v>
      </c>
      <c r="G36" s="21">
        <v>983</v>
      </c>
      <c r="H36" s="21">
        <v>4863</v>
      </c>
      <c r="I36" s="21">
        <v>17650</v>
      </c>
      <c r="J36" s="21">
        <v>2195</v>
      </c>
      <c r="K36" s="21">
        <v>5037</v>
      </c>
      <c r="L36" s="21">
        <v>24882</v>
      </c>
      <c r="M36" s="21">
        <v>25865</v>
      </c>
      <c r="N36" s="21">
        <v>7421</v>
      </c>
      <c r="O36" s="21">
        <v>373</v>
      </c>
      <c r="P36" s="21">
        <v>2770</v>
      </c>
      <c r="Q36" s="21">
        <v>62</v>
      </c>
      <c r="R36" s="21">
        <v>1183</v>
      </c>
      <c r="S36" s="21">
        <v>8150</v>
      </c>
      <c r="T36" s="21">
        <v>14469</v>
      </c>
      <c r="U36" s="21">
        <v>2610</v>
      </c>
      <c r="V36" s="21">
        <v>4947</v>
      </c>
      <c r="W36" s="21">
        <v>41987</v>
      </c>
      <c r="X36" s="21">
        <v>71731</v>
      </c>
      <c r="Y36" s="21">
        <v>10563</v>
      </c>
      <c r="Z36" s="21">
        <v>1740</v>
      </c>
      <c r="AA36" s="21">
        <v>80554</v>
      </c>
      <c r="AB36" s="21">
        <v>4822</v>
      </c>
      <c r="AC36" s="21">
        <v>167065</v>
      </c>
    </row>
    <row r="37" spans="1:29" x14ac:dyDescent="0.3">
      <c r="A37" s="20" t="s">
        <v>97</v>
      </c>
      <c r="B37" s="21">
        <v>1509</v>
      </c>
      <c r="C37" s="21">
        <v>435</v>
      </c>
      <c r="D37" s="21">
        <v>451</v>
      </c>
      <c r="E37" s="21">
        <v>109</v>
      </c>
      <c r="F37" s="21">
        <v>2504</v>
      </c>
      <c r="G37" s="21">
        <v>289</v>
      </c>
      <c r="H37" s="21">
        <v>2793</v>
      </c>
      <c r="I37" s="21">
        <v>1994</v>
      </c>
      <c r="J37" s="21">
        <v>248</v>
      </c>
      <c r="K37" s="21">
        <v>569</v>
      </c>
      <c r="L37" s="21">
        <v>2811</v>
      </c>
      <c r="M37" s="21">
        <v>3100</v>
      </c>
      <c r="N37" s="21">
        <v>839</v>
      </c>
      <c r="O37" s="21">
        <v>42</v>
      </c>
      <c r="P37" s="21">
        <v>313</v>
      </c>
      <c r="Q37" s="21">
        <v>7</v>
      </c>
      <c r="R37" s="21">
        <v>134</v>
      </c>
      <c r="S37" s="21">
        <v>921</v>
      </c>
      <c r="T37" s="21">
        <v>1635</v>
      </c>
      <c r="U37" s="21">
        <v>295</v>
      </c>
      <c r="V37" s="21">
        <v>559</v>
      </c>
      <c r="W37" s="21">
        <v>4744</v>
      </c>
      <c r="X37" s="21">
        <v>10349</v>
      </c>
      <c r="Y37" s="21">
        <v>1524</v>
      </c>
      <c r="Z37" s="21">
        <v>251</v>
      </c>
      <c r="AA37" s="21">
        <v>11622</v>
      </c>
      <c r="AB37" s="21">
        <v>1226</v>
      </c>
      <c r="AC37" s="21">
        <v>94787</v>
      </c>
    </row>
    <row r="38" spans="1:29" x14ac:dyDescent="0.3">
      <c r="A38" s="20" t="s">
        <v>98</v>
      </c>
      <c r="B38" s="21">
        <v>1218</v>
      </c>
      <c r="C38" s="21">
        <v>299</v>
      </c>
      <c r="D38" s="21">
        <v>380</v>
      </c>
      <c r="E38" s="21">
        <v>82</v>
      </c>
      <c r="F38" s="21">
        <v>1979</v>
      </c>
      <c r="G38" s="21">
        <v>25</v>
      </c>
      <c r="H38" s="21">
        <v>2004</v>
      </c>
      <c r="I38" s="21">
        <v>2366</v>
      </c>
      <c r="J38" s="21">
        <v>294</v>
      </c>
      <c r="K38" s="21">
        <v>675</v>
      </c>
      <c r="L38" s="21">
        <v>3336</v>
      </c>
      <c r="M38" s="21">
        <v>3361</v>
      </c>
      <c r="N38" s="21">
        <v>995</v>
      </c>
      <c r="O38" s="21">
        <v>50</v>
      </c>
      <c r="P38" s="21">
        <v>371</v>
      </c>
      <c r="Q38" s="21">
        <v>8</v>
      </c>
      <c r="R38" s="21">
        <v>159</v>
      </c>
      <c r="S38" s="21">
        <v>1093</v>
      </c>
      <c r="T38" s="21">
        <v>1940</v>
      </c>
      <c r="U38" s="21">
        <v>350</v>
      </c>
      <c r="V38" s="21">
        <v>663</v>
      </c>
      <c r="W38" s="21">
        <v>5630</v>
      </c>
      <c r="X38" s="21">
        <v>10969</v>
      </c>
      <c r="Y38" s="21">
        <v>1615</v>
      </c>
      <c r="Z38" s="21">
        <v>266</v>
      </c>
      <c r="AA38" s="21">
        <v>12319</v>
      </c>
      <c r="AB38" s="21">
        <v>1350</v>
      </c>
      <c r="AC38" s="21">
        <v>91251</v>
      </c>
    </row>
    <row r="39" spans="1:29" x14ac:dyDescent="0.3">
      <c r="A39" s="20" t="s">
        <v>99</v>
      </c>
      <c r="B39" s="21">
        <v>1804</v>
      </c>
      <c r="C39" s="21">
        <v>360</v>
      </c>
      <c r="D39" s="21">
        <v>646</v>
      </c>
      <c r="E39" s="21">
        <v>75</v>
      </c>
      <c r="F39" s="21">
        <v>2885</v>
      </c>
      <c r="G39" s="21">
        <v>2365</v>
      </c>
      <c r="H39" s="21">
        <v>5250</v>
      </c>
      <c r="I39" s="21">
        <v>4281</v>
      </c>
      <c r="J39" s="21">
        <v>532</v>
      </c>
      <c r="K39" s="21">
        <v>1222</v>
      </c>
      <c r="L39" s="21">
        <v>6035</v>
      </c>
      <c r="M39" s="21">
        <v>8399</v>
      </c>
      <c r="N39" s="21">
        <v>1800</v>
      </c>
      <c r="O39" s="21">
        <v>91</v>
      </c>
      <c r="P39" s="21">
        <v>672</v>
      </c>
      <c r="Q39" s="21">
        <v>15</v>
      </c>
      <c r="R39" s="21">
        <v>287</v>
      </c>
      <c r="S39" s="21">
        <v>1977</v>
      </c>
      <c r="T39" s="21">
        <v>3509</v>
      </c>
      <c r="U39" s="21">
        <v>633</v>
      </c>
      <c r="V39" s="21">
        <v>1200</v>
      </c>
      <c r="W39" s="21">
        <v>10183</v>
      </c>
      <c r="X39" s="21">
        <v>21468</v>
      </c>
      <c r="Y39" s="21">
        <v>3161</v>
      </c>
      <c r="Z39" s="21">
        <v>521</v>
      </c>
      <c r="AA39" s="21">
        <v>24108</v>
      </c>
      <c r="AB39" s="21">
        <v>2262</v>
      </c>
      <c r="AC39" s="21">
        <v>106577</v>
      </c>
    </row>
    <row r="40" spans="1:29" x14ac:dyDescent="0.3">
      <c r="A40" s="20" t="s">
        <v>100</v>
      </c>
      <c r="B40" s="21">
        <v>788</v>
      </c>
      <c r="C40" s="21">
        <v>215</v>
      </c>
      <c r="D40" s="21">
        <v>831</v>
      </c>
      <c r="E40" s="21">
        <v>25</v>
      </c>
      <c r="F40" s="21">
        <v>1858</v>
      </c>
      <c r="G40" s="21">
        <v>42</v>
      </c>
      <c r="H40" s="21">
        <v>1900</v>
      </c>
      <c r="I40" s="21">
        <v>1333</v>
      </c>
      <c r="J40" s="21">
        <v>166</v>
      </c>
      <c r="K40" s="21">
        <v>380</v>
      </c>
      <c r="L40" s="21">
        <v>1879</v>
      </c>
      <c r="M40" s="21">
        <v>1921</v>
      </c>
      <c r="N40" s="21">
        <v>560</v>
      </c>
      <c r="O40" s="21">
        <v>28</v>
      </c>
      <c r="P40" s="21">
        <v>209</v>
      </c>
      <c r="Q40" s="21">
        <v>5</v>
      </c>
      <c r="R40" s="21">
        <v>89</v>
      </c>
      <c r="S40" s="21">
        <v>615</v>
      </c>
      <c r="T40" s="21">
        <v>1093</v>
      </c>
      <c r="U40" s="21">
        <v>197</v>
      </c>
      <c r="V40" s="21">
        <v>374</v>
      </c>
      <c r="W40" s="21">
        <v>3170</v>
      </c>
      <c r="X40" s="21">
        <v>6949</v>
      </c>
      <c r="Y40" s="21">
        <v>1023</v>
      </c>
      <c r="Z40" s="21">
        <v>169</v>
      </c>
      <c r="AA40" s="21">
        <v>7804</v>
      </c>
      <c r="AB40" s="21">
        <v>1093</v>
      </c>
      <c r="AC40" s="21">
        <v>71382</v>
      </c>
    </row>
    <row r="41" spans="1:29" s="2" customFormat="1" x14ac:dyDescent="0.3">
      <c r="A41" s="23" t="s">
        <v>402</v>
      </c>
      <c r="B41" s="24">
        <v>9376</v>
      </c>
      <c r="C41" s="24">
        <v>2202</v>
      </c>
      <c r="D41" s="24">
        <v>3225</v>
      </c>
      <c r="E41" s="24">
        <v>467</v>
      </c>
      <c r="F41" s="24">
        <v>15270</v>
      </c>
      <c r="G41" s="24">
        <v>3744</v>
      </c>
      <c r="H41" s="24">
        <v>19014</v>
      </c>
      <c r="I41" s="24">
        <v>30337</v>
      </c>
      <c r="J41" s="24">
        <v>3772</v>
      </c>
      <c r="K41" s="24">
        <v>8657</v>
      </c>
      <c r="L41" s="24">
        <v>42767</v>
      </c>
      <c r="M41" s="24">
        <v>46510</v>
      </c>
      <c r="N41" s="24">
        <v>12756</v>
      </c>
      <c r="O41" s="24">
        <v>641</v>
      </c>
      <c r="P41" s="24">
        <v>4761</v>
      </c>
      <c r="Q41" s="24">
        <v>107</v>
      </c>
      <c r="R41" s="24">
        <v>2034</v>
      </c>
      <c r="S41" s="24">
        <v>14009</v>
      </c>
      <c r="T41" s="24">
        <v>24870</v>
      </c>
      <c r="U41" s="24">
        <v>4486</v>
      </c>
      <c r="V41" s="24">
        <v>8503</v>
      </c>
      <c r="W41" s="24">
        <v>72167</v>
      </c>
      <c r="X41" s="24">
        <v>133947</v>
      </c>
      <c r="Y41" s="24">
        <v>19724</v>
      </c>
      <c r="Z41" s="24">
        <v>3250</v>
      </c>
      <c r="AA41" s="24">
        <v>150423</v>
      </c>
      <c r="AB41" s="24">
        <v>12087</v>
      </c>
      <c r="AC41" s="24">
        <f>AVERAGE(AC35:AC40)</f>
        <v>106023.66666666667</v>
      </c>
    </row>
    <row r="42" spans="1:29" s="2" customFormat="1" x14ac:dyDescent="0.3">
      <c r="A42" s="25" t="s">
        <v>406</v>
      </c>
      <c r="B42" s="26">
        <v>136776</v>
      </c>
      <c r="C42" s="26">
        <v>35170</v>
      </c>
      <c r="D42" s="26">
        <v>16519</v>
      </c>
      <c r="E42" s="26">
        <v>3850</v>
      </c>
      <c r="F42" s="26">
        <v>192318</v>
      </c>
      <c r="G42" s="26">
        <v>48229</v>
      </c>
      <c r="H42" s="26">
        <v>240551</v>
      </c>
      <c r="I42" s="26">
        <v>324238</v>
      </c>
      <c r="J42" s="26">
        <v>40324</v>
      </c>
      <c r="K42" s="26">
        <v>92532</v>
      </c>
      <c r="L42" s="26">
        <v>457100</v>
      </c>
      <c r="M42" s="26">
        <v>505329</v>
      </c>
      <c r="N42" s="26">
        <v>136332</v>
      </c>
      <c r="O42" s="26">
        <v>6853</v>
      </c>
      <c r="P42" s="26">
        <v>50890</v>
      </c>
      <c r="Q42" s="26">
        <v>1147</v>
      </c>
      <c r="R42" s="26">
        <v>21733</v>
      </c>
      <c r="S42" s="26">
        <v>149729</v>
      </c>
      <c r="T42" s="26">
        <v>265812</v>
      </c>
      <c r="U42" s="26">
        <v>47937</v>
      </c>
      <c r="V42" s="26">
        <v>90883</v>
      </c>
      <c r="W42" s="26">
        <v>771324</v>
      </c>
      <c r="X42" s="26">
        <v>1468968</v>
      </c>
      <c r="Y42" s="26">
        <v>216320</v>
      </c>
      <c r="Z42" s="26">
        <v>35646</v>
      </c>
      <c r="AA42" s="26">
        <v>1649649</v>
      </c>
      <c r="AB42" s="26">
        <v>115655</v>
      </c>
      <c r="AC42" s="26">
        <f>AVERAGE(AC41,AC34,AC28,AC13,AC7,AC19)</f>
        <v>117079.20694444445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42"/>
  <sheetViews>
    <sheetView tabSelected="1" topLeftCell="I1" zoomScale="122" zoomScaleNormal="122" workbookViewId="0">
      <selection activeCell="J12" sqref="J12"/>
    </sheetView>
  </sheetViews>
  <sheetFormatPr defaultRowHeight="14.4" x14ac:dyDescent="0.3"/>
  <cols>
    <col min="1" max="1" width="22.33203125" bestFit="1" customWidth="1"/>
    <col min="2" max="2" width="7.21875" bestFit="1" customWidth="1"/>
    <col min="3" max="3" width="7.88671875" customWidth="1"/>
    <col min="4" max="4" width="13.88671875" bestFit="1" customWidth="1"/>
    <col min="5" max="5" width="15.33203125" bestFit="1" customWidth="1"/>
    <col min="6" max="6" width="19.33203125" bestFit="1" customWidth="1"/>
    <col min="7" max="7" width="13.109375" bestFit="1" customWidth="1"/>
    <col min="8" max="8" width="9.44140625" bestFit="1" customWidth="1"/>
    <col min="9" max="9" width="9.77734375" bestFit="1" customWidth="1"/>
    <col min="10" max="10" width="33.6640625" bestFit="1" customWidth="1"/>
    <col min="11" max="11" width="8.6640625" bestFit="1" customWidth="1"/>
    <col min="12" max="12" width="11.33203125" bestFit="1" customWidth="1"/>
    <col min="13" max="13" width="7" bestFit="1" customWidth="1"/>
    <col min="14" max="14" width="22.88671875" bestFit="1" customWidth="1"/>
    <col min="15" max="15" width="6.21875" bestFit="1" customWidth="1"/>
    <col min="16" max="16" width="25.6640625" bestFit="1" customWidth="1"/>
    <col min="17" max="17" width="5.44140625" bestFit="1" customWidth="1"/>
    <col min="18" max="18" width="23.5546875" bestFit="1" customWidth="1"/>
    <col min="19" max="19" width="11.5546875" bestFit="1" customWidth="1"/>
    <col min="20" max="20" width="29.21875" bestFit="1" customWidth="1"/>
    <col min="21" max="21" width="20.6640625" bestFit="1" customWidth="1"/>
    <col min="22" max="22" width="9.5546875" bestFit="1" customWidth="1"/>
    <col min="23" max="23" width="15.5546875" bestFit="1" customWidth="1"/>
    <col min="24" max="24" width="8" bestFit="1" customWidth="1"/>
    <col min="25" max="25" width="11.88671875" bestFit="1" customWidth="1"/>
    <col min="26" max="26" width="17.44140625" bestFit="1" customWidth="1"/>
    <col min="27" max="27" width="8" bestFit="1" customWidth="1"/>
    <col min="28" max="28" width="10.77734375" bestFit="1" customWidth="1"/>
    <col min="29" max="29" width="23.5546875" bestFit="1" customWidth="1"/>
  </cols>
  <sheetData>
    <row r="1" spans="1:29" x14ac:dyDescent="0.3">
      <c r="A1" s="37" t="s">
        <v>0</v>
      </c>
      <c r="B1" s="37" t="s">
        <v>1</v>
      </c>
      <c r="C1" s="37" t="s">
        <v>2</v>
      </c>
      <c r="D1" s="37" t="s">
        <v>382</v>
      </c>
      <c r="E1" s="37" t="s">
        <v>383</v>
      </c>
      <c r="F1" s="37" t="s">
        <v>384</v>
      </c>
      <c r="G1" s="37" t="s">
        <v>385</v>
      </c>
      <c r="H1" s="37" t="s">
        <v>386</v>
      </c>
      <c r="I1" s="37" t="s">
        <v>3</v>
      </c>
      <c r="J1" s="37" t="s">
        <v>387</v>
      </c>
      <c r="K1" s="37" t="s">
        <v>4</v>
      </c>
      <c r="L1" s="37" t="s">
        <v>388</v>
      </c>
      <c r="M1" s="37" t="s">
        <v>389</v>
      </c>
      <c r="N1" s="37" t="s">
        <v>410</v>
      </c>
      <c r="O1" s="38" t="s">
        <v>37</v>
      </c>
      <c r="P1" s="39" t="s">
        <v>411</v>
      </c>
      <c r="Q1" s="37" t="s">
        <v>38</v>
      </c>
      <c r="R1" s="37" t="s">
        <v>390</v>
      </c>
      <c r="S1" s="37" t="s">
        <v>391</v>
      </c>
      <c r="T1" s="37" t="s">
        <v>392</v>
      </c>
      <c r="U1" s="38" t="s">
        <v>393</v>
      </c>
      <c r="V1" s="37" t="s">
        <v>394</v>
      </c>
      <c r="W1" s="37" t="s">
        <v>395</v>
      </c>
      <c r="X1" s="37" t="s">
        <v>396</v>
      </c>
      <c r="Y1" s="39" t="s">
        <v>397</v>
      </c>
      <c r="Z1" s="37" t="s">
        <v>398</v>
      </c>
      <c r="AA1" s="37" t="s">
        <v>399</v>
      </c>
      <c r="AB1" s="37" t="s">
        <v>400</v>
      </c>
      <c r="AC1" s="37" t="s">
        <v>401</v>
      </c>
    </row>
    <row r="2" spans="1:29" x14ac:dyDescent="0.3">
      <c r="A2" s="4" t="s">
        <v>409</v>
      </c>
      <c r="B2" s="5">
        <v>1</v>
      </c>
      <c r="C2" s="5">
        <v>649</v>
      </c>
      <c r="D2" s="5">
        <v>48</v>
      </c>
      <c r="E2" s="5">
        <v>1437</v>
      </c>
      <c r="F2" s="5">
        <v>2136</v>
      </c>
      <c r="G2" s="5">
        <v>34887</v>
      </c>
      <c r="H2" s="5">
        <v>37023</v>
      </c>
      <c r="I2" s="5">
        <v>69754</v>
      </c>
      <c r="J2" s="5">
        <v>7980</v>
      </c>
      <c r="K2" s="5">
        <v>20632</v>
      </c>
      <c r="L2" s="5">
        <v>98365</v>
      </c>
      <c r="M2" s="5">
        <v>133253</v>
      </c>
      <c r="N2" s="5">
        <v>30335</v>
      </c>
      <c r="O2" s="5">
        <v>1694</v>
      </c>
      <c r="P2" s="5">
        <v>11479</v>
      </c>
      <c r="Q2" s="5">
        <v>257</v>
      </c>
      <c r="R2" s="5">
        <v>5037</v>
      </c>
      <c r="S2" s="5">
        <v>33467</v>
      </c>
      <c r="T2" s="5">
        <v>63722</v>
      </c>
      <c r="U2" s="5">
        <v>10566</v>
      </c>
      <c r="V2" s="5">
        <v>21696</v>
      </c>
      <c r="W2" s="5">
        <v>178252</v>
      </c>
      <c r="X2" s="5">
        <v>313640</v>
      </c>
      <c r="Y2" s="5">
        <v>45221</v>
      </c>
      <c r="Z2" s="5">
        <v>7235</v>
      </c>
      <c r="AA2" s="5">
        <v>351626</v>
      </c>
      <c r="AB2" s="5">
        <v>13233</v>
      </c>
      <c r="AC2" s="5">
        <v>265726</v>
      </c>
    </row>
    <row r="3" spans="1:29" x14ac:dyDescent="0.3">
      <c r="A3" s="4" t="s">
        <v>381</v>
      </c>
      <c r="B3" s="5">
        <v>3724</v>
      </c>
      <c r="C3" s="6">
        <v>802</v>
      </c>
      <c r="D3" s="6">
        <v>1301</v>
      </c>
      <c r="E3" s="6">
        <v>988</v>
      </c>
      <c r="F3" s="6">
        <v>6814</v>
      </c>
      <c r="G3" s="6">
        <v>825</v>
      </c>
      <c r="H3" s="6">
        <v>7639</v>
      </c>
      <c r="I3" s="6">
        <v>56498</v>
      </c>
      <c r="J3" s="6">
        <v>6463</v>
      </c>
      <c r="K3" s="5">
        <v>16711</v>
      </c>
      <c r="L3" s="5">
        <v>79672</v>
      </c>
      <c r="M3" s="5">
        <v>80497</v>
      </c>
      <c r="N3" s="5">
        <v>24570</v>
      </c>
      <c r="O3" s="5">
        <v>1372</v>
      </c>
      <c r="P3" s="5">
        <v>9297</v>
      </c>
      <c r="Q3" s="5">
        <v>208</v>
      </c>
      <c r="R3" s="5">
        <v>4080</v>
      </c>
      <c r="S3" s="5">
        <v>27107</v>
      </c>
      <c r="T3" s="5">
        <v>51612</v>
      </c>
      <c r="U3" s="5">
        <v>8558</v>
      </c>
      <c r="V3" s="5">
        <v>17573</v>
      </c>
      <c r="W3" s="5">
        <v>144377</v>
      </c>
      <c r="X3" s="5">
        <v>231688</v>
      </c>
      <c r="Y3" s="5">
        <v>33405</v>
      </c>
      <c r="Z3" s="5">
        <v>5345</v>
      </c>
      <c r="AA3" s="5">
        <v>259748</v>
      </c>
      <c r="AB3" s="5">
        <v>11656</v>
      </c>
      <c r="AC3" s="5">
        <v>222850</v>
      </c>
    </row>
    <row r="4" spans="1:29" x14ac:dyDescent="0.3">
      <c r="A4" s="4" t="s">
        <v>101</v>
      </c>
      <c r="B4" s="5">
        <v>2870</v>
      </c>
      <c r="C4" s="6">
        <v>337</v>
      </c>
      <c r="D4" s="6">
        <v>1068</v>
      </c>
      <c r="E4" s="6">
        <v>235</v>
      </c>
      <c r="F4" s="6">
        <v>4509</v>
      </c>
      <c r="G4" s="6">
        <v>7655</v>
      </c>
      <c r="H4" s="6">
        <v>12164</v>
      </c>
      <c r="I4" s="6">
        <v>7747</v>
      </c>
      <c r="J4" s="6">
        <v>886</v>
      </c>
      <c r="K4" s="5">
        <v>2291</v>
      </c>
      <c r="L4" s="5">
        <v>10925</v>
      </c>
      <c r="M4" s="5">
        <v>18579</v>
      </c>
      <c r="N4" s="5">
        <v>3369</v>
      </c>
      <c r="O4" s="5">
        <v>188</v>
      </c>
      <c r="P4" s="5">
        <v>1275</v>
      </c>
      <c r="Q4" s="5">
        <v>29</v>
      </c>
      <c r="R4" s="5">
        <v>559</v>
      </c>
      <c r="S4" s="5">
        <v>3717</v>
      </c>
      <c r="T4" s="5">
        <v>7077</v>
      </c>
      <c r="U4" s="5">
        <v>1173</v>
      </c>
      <c r="V4" s="5">
        <v>2410</v>
      </c>
      <c r="W4" s="5">
        <v>19797</v>
      </c>
      <c r="X4" s="5">
        <v>42886</v>
      </c>
      <c r="Y4" s="5">
        <v>6183</v>
      </c>
      <c r="Z4" s="5">
        <v>989</v>
      </c>
      <c r="AA4" s="5">
        <v>48080</v>
      </c>
      <c r="AB4" s="5">
        <v>2732</v>
      </c>
      <c r="AC4" s="5">
        <v>176010</v>
      </c>
    </row>
    <row r="5" spans="1:29" x14ac:dyDescent="0.3">
      <c r="A5" s="4" t="s">
        <v>102</v>
      </c>
      <c r="B5" s="5">
        <v>6111</v>
      </c>
      <c r="C5" s="6">
        <v>228</v>
      </c>
      <c r="D5" s="6">
        <v>406</v>
      </c>
      <c r="E5" s="6">
        <v>516</v>
      </c>
      <c r="F5" s="6">
        <v>7261</v>
      </c>
      <c r="G5" s="6">
        <v>83</v>
      </c>
      <c r="H5" s="6">
        <v>7344</v>
      </c>
      <c r="I5" s="6">
        <v>3756</v>
      </c>
      <c r="J5" s="6">
        <v>430</v>
      </c>
      <c r="K5" s="5">
        <v>1111</v>
      </c>
      <c r="L5" s="5">
        <v>5297</v>
      </c>
      <c r="M5" s="5">
        <v>5379</v>
      </c>
      <c r="N5" s="5">
        <v>1633</v>
      </c>
      <c r="O5" s="5">
        <v>91</v>
      </c>
      <c r="P5" s="5">
        <v>618</v>
      </c>
      <c r="Q5" s="5">
        <v>14</v>
      </c>
      <c r="R5" s="5">
        <v>271</v>
      </c>
      <c r="S5" s="5">
        <v>1802</v>
      </c>
      <c r="T5" s="5">
        <v>3431</v>
      </c>
      <c r="U5" s="5">
        <v>569</v>
      </c>
      <c r="V5" s="5">
        <v>1168</v>
      </c>
      <c r="W5" s="5">
        <v>9598</v>
      </c>
      <c r="X5" s="5">
        <v>22238</v>
      </c>
      <c r="Y5" s="5">
        <v>3206</v>
      </c>
      <c r="Z5" s="5">
        <v>513</v>
      </c>
      <c r="AA5" s="5">
        <v>24932</v>
      </c>
      <c r="AB5" s="5">
        <v>1661</v>
      </c>
      <c r="AC5" s="5">
        <v>150109</v>
      </c>
    </row>
    <row r="6" spans="1:29" x14ac:dyDescent="0.3">
      <c r="A6" s="4" t="s">
        <v>103</v>
      </c>
      <c r="B6" s="5">
        <v>2626</v>
      </c>
      <c r="C6" s="6">
        <v>127</v>
      </c>
      <c r="D6" s="6">
        <v>1145</v>
      </c>
      <c r="E6" s="6">
        <v>165</v>
      </c>
      <c r="F6" s="6">
        <v>4062</v>
      </c>
      <c r="G6" s="6">
        <v>368</v>
      </c>
      <c r="H6" s="6">
        <v>4430</v>
      </c>
      <c r="I6" s="6">
        <v>1701</v>
      </c>
      <c r="J6" s="6">
        <v>195</v>
      </c>
      <c r="K6" s="5">
        <v>503</v>
      </c>
      <c r="L6" s="5">
        <v>2398</v>
      </c>
      <c r="M6" s="5">
        <v>2766</v>
      </c>
      <c r="N6" s="5">
        <v>740</v>
      </c>
      <c r="O6" s="5">
        <v>41</v>
      </c>
      <c r="P6" s="5">
        <v>280</v>
      </c>
      <c r="Q6" s="5">
        <v>6</v>
      </c>
      <c r="R6" s="5">
        <v>123</v>
      </c>
      <c r="S6" s="5">
        <v>816</v>
      </c>
      <c r="T6" s="5">
        <v>1554</v>
      </c>
      <c r="U6" s="5">
        <v>258</v>
      </c>
      <c r="V6" s="5">
        <v>529</v>
      </c>
      <c r="W6" s="5">
        <v>4346</v>
      </c>
      <c r="X6" s="5">
        <v>11174</v>
      </c>
      <c r="Y6" s="5">
        <v>1611</v>
      </c>
      <c r="Z6" s="5">
        <v>258</v>
      </c>
      <c r="AA6" s="5">
        <v>12527</v>
      </c>
      <c r="AB6" s="5">
        <v>872</v>
      </c>
      <c r="AC6" s="5">
        <v>143589</v>
      </c>
    </row>
    <row r="7" spans="1:29" s="2" customFormat="1" x14ac:dyDescent="0.3">
      <c r="A7" s="18" t="s">
        <v>405</v>
      </c>
      <c r="B7" s="19">
        <v>15332</v>
      </c>
      <c r="C7" s="19">
        <v>2143</v>
      </c>
      <c r="D7" s="19">
        <v>3968</v>
      </c>
      <c r="E7" s="19">
        <v>3341</v>
      </c>
      <c r="F7" s="19">
        <v>24782</v>
      </c>
      <c r="G7" s="19">
        <v>43818</v>
      </c>
      <c r="H7" s="19">
        <v>68600</v>
      </c>
      <c r="I7" s="19">
        <v>139456</v>
      </c>
      <c r="J7" s="19">
        <v>15954</v>
      </c>
      <c r="K7" s="19">
        <v>41248</v>
      </c>
      <c r="L7" s="19">
        <v>196657</v>
      </c>
      <c r="M7" s="19">
        <v>240474</v>
      </c>
      <c r="N7" s="19">
        <v>60647</v>
      </c>
      <c r="O7" s="19">
        <v>3386</v>
      </c>
      <c r="P7" s="19">
        <v>22949</v>
      </c>
      <c r="Q7" s="19">
        <v>514</v>
      </c>
      <c r="R7" s="19">
        <v>10070</v>
      </c>
      <c r="S7" s="19">
        <v>66909</v>
      </c>
      <c r="T7" s="19">
        <v>127396</v>
      </c>
      <c r="U7" s="19">
        <v>21124</v>
      </c>
      <c r="V7" s="19">
        <v>43376</v>
      </c>
      <c r="W7" s="19">
        <v>356370</v>
      </c>
      <c r="X7" s="19">
        <v>621626</v>
      </c>
      <c r="Y7" s="19">
        <v>89626</v>
      </c>
      <c r="Z7" s="19">
        <v>14340</v>
      </c>
      <c r="AA7" s="19">
        <v>696913</v>
      </c>
      <c r="AB7" s="19">
        <v>30154</v>
      </c>
      <c r="AC7" s="19">
        <f>AVERAGE(AC2:AC6)</f>
        <v>191656.8</v>
      </c>
    </row>
    <row r="8" spans="1:29" x14ac:dyDescent="0.3">
      <c r="A8" s="27" t="s">
        <v>104</v>
      </c>
      <c r="B8" s="28">
        <v>10836</v>
      </c>
      <c r="C8" s="29">
        <v>2079</v>
      </c>
      <c r="D8" s="29">
        <v>479</v>
      </c>
      <c r="E8" s="29">
        <v>41</v>
      </c>
      <c r="F8" s="29">
        <v>13435</v>
      </c>
      <c r="G8" s="29">
        <v>325</v>
      </c>
      <c r="H8" s="29">
        <v>13760</v>
      </c>
      <c r="I8" s="29">
        <v>16307</v>
      </c>
      <c r="J8" s="29">
        <v>1865</v>
      </c>
      <c r="K8" s="28">
        <v>4823</v>
      </c>
      <c r="L8" s="28">
        <v>22996</v>
      </c>
      <c r="M8" s="28">
        <v>23321</v>
      </c>
      <c r="N8" s="28">
        <v>7092</v>
      </c>
      <c r="O8" s="28">
        <v>396</v>
      </c>
      <c r="P8" s="28">
        <v>2683</v>
      </c>
      <c r="Q8" s="28">
        <v>60</v>
      </c>
      <c r="R8" s="28">
        <v>1178</v>
      </c>
      <c r="S8" s="28">
        <v>7824</v>
      </c>
      <c r="T8" s="28">
        <v>14897</v>
      </c>
      <c r="U8" s="28">
        <v>2470</v>
      </c>
      <c r="V8" s="28">
        <v>5072</v>
      </c>
      <c r="W8" s="28">
        <v>41672</v>
      </c>
      <c r="X8" s="28">
        <v>78428</v>
      </c>
      <c r="Y8" s="28">
        <v>11308</v>
      </c>
      <c r="Z8" s="28">
        <v>1809</v>
      </c>
      <c r="AA8" s="28">
        <v>87927</v>
      </c>
      <c r="AB8" s="28">
        <v>6348</v>
      </c>
      <c r="AC8" s="28">
        <v>138517</v>
      </c>
    </row>
    <row r="9" spans="1:29" x14ac:dyDescent="0.3">
      <c r="A9" s="27" t="s">
        <v>105</v>
      </c>
      <c r="B9" s="28">
        <v>4578</v>
      </c>
      <c r="C9" s="29">
        <v>375</v>
      </c>
      <c r="D9" s="29">
        <v>188</v>
      </c>
      <c r="E9" s="29">
        <v>19</v>
      </c>
      <c r="F9" s="29">
        <v>5161</v>
      </c>
      <c r="G9" s="29">
        <v>30</v>
      </c>
      <c r="H9" s="29">
        <v>5192</v>
      </c>
      <c r="I9" s="29">
        <v>4004</v>
      </c>
      <c r="J9" s="29">
        <v>458</v>
      </c>
      <c r="K9" s="28">
        <v>1184</v>
      </c>
      <c r="L9" s="28">
        <v>5646</v>
      </c>
      <c r="M9" s="28">
        <v>5676</v>
      </c>
      <c r="N9" s="28">
        <v>1741</v>
      </c>
      <c r="O9" s="28">
        <v>97</v>
      </c>
      <c r="P9" s="28">
        <v>659</v>
      </c>
      <c r="Q9" s="28">
        <v>15</v>
      </c>
      <c r="R9" s="28">
        <v>289</v>
      </c>
      <c r="S9" s="28">
        <v>1921</v>
      </c>
      <c r="T9" s="28">
        <v>3657</v>
      </c>
      <c r="U9" s="28">
        <v>606</v>
      </c>
      <c r="V9" s="28">
        <v>1245</v>
      </c>
      <c r="W9" s="28">
        <v>10231</v>
      </c>
      <c r="X9" s="28">
        <v>21068</v>
      </c>
      <c r="Y9" s="28">
        <v>3038</v>
      </c>
      <c r="Z9" s="28">
        <v>486</v>
      </c>
      <c r="AA9" s="28">
        <v>23620</v>
      </c>
      <c r="AB9" s="28">
        <v>2119</v>
      </c>
      <c r="AC9" s="28">
        <v>111468</v>
      </c>
    </row>
    <row r="10" spans="1:29" x14ac:dyDescent="0.3">
      <c r="A10" s="27" t="s">
        <v>106</v>
      </c>
      <c r="B10" s="28">
        <v>1258</v>
      </c>
      <c r="C10" s="29">
        <v>510</v>
      </c>
      <c r="D10" s="29">
        <v>151</v>
      </c>
      <c r="E10" s="29">
        <v>49</v>
      </c>
      <c r="F10" s="29">
        <v>1968</v>
      </c>
      <c r="G10" s="29">
        <v>31</v>
      </c>
      <c r="H10" s="29">
        <v>2000</v>
      </c>
      <c r="I10" s="29">
        <v>2022</v>
      </c>
      <c r="J10" s="29">
        <v>231</v>
      </c>
      <c r="K10" s="28">
        <v>598</v>
      </c>
      <c r="L10" s="28">
        <v>2851</v>
      </c>
      <c r="M10" s="28">
        <v>2882</v>
      </c>
      <c r="N10" s="28">
        <v>879</v>
      </c>
      <c r="O10" s="28">
        <v>49</v>
      </c>
      <c r="P10" s="28">
        <v>333</v>
      </c>
      <c r="Q10" s="28">
        <v>7</v>
      </c>
      <c r="R10" s="28">
        <v>146</v>
      </c>
      <c r="S10" s="28">
        <v>970</v>
      </c>
      <c r="T10" s="28">
        <v>1847</v>
      </c>
      <c r="U10" s="28">
        <v>306</v>
      </c>
      <c r="V10" s="28">
        <v>629</v>
      </c>
      <c r="W10" s="28">
        <v>5166</v>
      </c>
      <c r="X10" s="28">
        <v>10017</v>
      </c>
      <c r="Y10" s="28">
        <v>1444</v>
      </c>
      <c r="Z10" s="28">
        <v>231</v>
      </c>
      <c r="AA10" s="28">
        <v>11230</v>
      </c>
      <c r="AB10" s="28">
        <v>1695</v>
      </c>
      <c r="AC10" s="28">
        <v>66239</v>
      </c>
    </row>
    <row r="11" spans="1:29" x14ac:dyDescent="0.3">
      <c r="A11" s="27" t="s">
        <v>107</v>
      </c>
      <c r="B11" s="28">
        <v>7422</v>
      </c>
      <c r="C11" s="29">
        <v>1105</v>
      </c>
      <c r="D11" s="29">
        <v>350</v>
      </c>
      <c r="E11" s="29">
        <v>13</v>
      </c>
      <c r="F11" s="29">
        <v>8889</v>
      </c>
      <c r="G11" s="29">
        <v>35</v>
      </c>
      <c r="H11" s="29">
        <v>8924</v>
      </c>
      <c r="I11" s="29">
        <v>7972</v>
      </c>
      <c r="J11" s="29">
        <v>912</v>
      </c>
      <c r="K11" s="28">
        <v>2358</v>
      </c>
      <c r="L11" s="28">
        <v>11241</v>
      </c>
      <c r="M11" s="28">
        <v>11276</v>
      </c>
      <c r="N11" s="28">
        <v>3467</v>
      </c>
      <c r="O11" s="28">
        <v>194</v>
      </c>
      <c r="P11" s="28">
        <v>1312</v>
      </c>
      <c r="Q11" s="28">
        <v>29</v>
      </c>
      <c r="R11" s="28">
        <v>576</v>
      </c>
      <c r="S11" s="28">
        <v>3825</v>
      </c>
      <c r="T11" s="28">
        <v>7282</v>
      </c>
      <c r="U11" s="28">
        <v>1208</v>
      </c>
      <c r="V11" s="28">
        <v>2479</v>
      </c>
      <c r="W11" s="28">
        <v>20371</v>
      </c>
      <c r="X11" s="28">
        <v>40536</v>
      </c>
      <c r="Y11" s="28">
        <v>5845</v>
      </c>
      <c r="Z11" s="28">
        <v>935</v>
      </c>
      <c r="AA11" s="28">
        <v>45445</v>
      </c>
      <c r="AB11" s="28">
        <v>4377</v>
      </c>
      <c r="AC11" s="28">
        <v>103820</v>
      </c>
    </row>
    <row r="12" spans="1:29" x14ac:dyDescent="0.3">
      <c r="A12" s="27" t="s">
        <v>380</v>
      </c>
      <c r="B12" s="28">
        <v>7923</v>
      </c>
      <c r="C12" s="29">
        <v>5640</v>
      </c>
      <c r="D12" s="29">
        <v>596</v>
      </c>
      <c r="E12" s="29">
        <v>23</v>
      </c>
      <c r="F12" s="29">
        <v>14182</v>
      </c>
      <c r="G12" s="29">
        <v>243</v>
      </c>
      <c r="H12" s="29">
        <v>14425</v>
      </c>
      <c r="I12" s="29">
        <v>9466</v>
      </c>
      <c r="J12" s="29">
        <v>1083</v>
      </c>
      <c r="K12" s="28">
        <v>2800</v>
      </c>
      <c r="L12" s="28">
        <v>13348</v>
      </c>
      <c r="M12" s="28">
        <v>13591</v>
      </c>
      <c r="N12" s="28">
        <v>4117</v>
      </c>
      <c r="O12" s="28">
        <v>230</v>
      </c>
      <c r="P12" s="28">
        <v>1558</v>
      </c>
      <c r="Q12" s="28">
        <v>35</v>
      </c>
      <c r="R12" s="28">
        <v>684</v>
      </c>
      <c r="S12" s="28">
        <v>4542</v>
      </c>
      <c r="T12" s="28">
        <v>8647</v>
      </c>
      <c r="U12" s="28">
        <v>1434</v>
      </c>
      <c r="V12" s="28">
        <v>2944</v>
      </c>
      <c r="W12" s="28">
        <v>24189</v>
      </c>
      <c r="X12" s="28">
        <v>51962</v>
      </c>
      <c r="Y12" s="28">
        <v>7492</v>
      </c>
      <c r="Z12" s="28">
        <v>1199</v>
      </c>
      <c r="AA12" s="28">
        <v>58256</v>
      </c>
      <c r="AB12" s="28">
        <v>4679</v>
      </c>
      <c r="AC12" s="28">
        <v>124498</v>
      </c>
    </row>
    <row r="13" spans="1:29" s="2" customFormat="1" x14ac:dyDescent="0.3">
      <c r="A13" s="7" t="s">
        <v>408</v>
      </c>
      <c r="B13" s="8">
        <v>32017</v>
      </c>
      <c r="C13" s="8">
        <v>9709</v>
      </c>
      <c r="D13" s="8">
        <v>1764</v>
      </c>
      <c r="E13" s="8">
        <v>145</v>
      </c>
      <c r="F13" s="8">
        <v>43635</v>
      </c>
      <c r="G13" s="8">
        <v>664</v>
      </c>
      <c r="H13" s="8">
        <v>44301</v>
      </c>
      <c r="I13" s="8">
        <v>39771</v>
      </c>
      <c r="J13" s="8">
        <v>4549</v>
      </c>
      <c r="K13" s="8">
        <v>11763</v>
      </c>
      <c r="L13" s="8">
        <v>56082</v>
      </c>
      <c r="M13" s="8">
        <v>56746</v>
      </c>
      <c r="N13" s="8">
        <v>17296</v>
      </c>
      <c r="O13" s="8">
        <v>966</v>
      </c>
      <c r="P13" s="8">
        <v>6545</v>
      </c>
      <c r="Q13" s="8">
        <v>146</v>
      </c>
      <c r="R13" s="8">
        <v>2873</v>
      </c>
      <c r="S13" s="8">
        <v>19082</v>
      </c>
      <c r="T13" s="8">
        <v>36330</v>
      </c>
      <c r="U13" s="8">
        <v>6024</v>
      </c>
      <c r="V13" s="8">
        <v>12369</v>
      </c>
      <c r="W13" s="8">
        <v>101629</v>
      </c>
      <c r="X13" s="8">
        <v>202011</v>
      </c>
      <c r="Y13" s="8">
        <v>29127</v>
      </c>
      <c r="Z13" s="8">
        <v>4660</v>
      </c>
      <c r="AA13" s="8">
        <v>226478</v>
      </c>
      <c r="AB13" s="8">
        <v>19218</v>
      </c>
      <c r="AC13" s="8">
        <f>AVERAGE(AC8:AC12)</f>
        <v>108908.4</v>
      </c>
    </row>
    <row r="14" spans="1:29" x14ac:dyDescent="0.3">
      <c r="A14" s="9" t="s">
        <v>108</v>
      </c>
      <c r="B14" s="10">
        <v>8023</v>
      </c>
      <c r="C14" s="11">
        <v>5755</v>
      </c>
      <c r="D14" s="11">
        <v>935</v>
      </c>
      <c r="E14" s="11">
        <v>235</v>
      </c>
      <c r="F14" s="11">
        <v>14948</v>
      </c>
      <c r="G14" s="11">
        <v>670</v>
      </c>
      <c r="H14" s="11">
        <v>15618</v>
      </c>
      <c r="I14" s="11">
        <v>42606</v>
      </c>
      <c r="J14" s="11">
        <v>4874</v>
      </c>
      <c r="K14" s="10">
        <v>12602</v>
      </c>
      <c r="L14" s="10">
        <v>60081</v>
      </c>
      <c r="M14" s="10">
        <v>60751</v>
      </c>
      <c r="N14" s="10">
        <v>18529</v>
      </c>
      <c r="O14" s="10">
        <v>1035</v>
      </c>
      <c r="P14" s="10">
        <v>7011</v>
      </c>
      <c r="Q14" s="10">
        <v>157</v>
      </c>
      <c r="R14" s="10">
        <v>3077</v>
      </c>
      <c r="S14" s="10">
        <v>20442</v>
      </c>
      <c r="T14" s="10">
        <v>38921</v>
      </c>
      <c r="U14" s="10">
        <v>6454</v>
      </c>
      <c r="V14" s="10">
        <v>13252</v>
      </c>
      <c r="W14" s="10">
        <v>108876</v>
      </c>
      <c r="X14" s="10">
        <v>184575</v>
      </c>
      <c r="Y14" s="10">
        <v>26612</v>
      </c>
      <c r="Z14" s="10">
        <v>4258</v>
      </c>
      <c r="AA14" s="10">
        <v>206930</v>
      </c>
      <c r="AB14" s="10">
        <v>9874</v>
      </c>
      <c r="AC14" s="10">
        <v>209574</v>
      </c>
    </row>
    <row r="15" spans="1:29" x14ac:dyDescent="0.3">
      <c r="A15" s="9" t="s">
        <v>109</v>
      </c>
      <c r="B15" s="10">
        <v>4002</v>
      </c>
      <c r="C15" s="11">
        <v>2463</v>
      </c>
      <c r="D15" s="11">
        <v>547</v>
      </c>
      <c r="E15" s="11">
        <v>15</v>
      </c>
      <c r="F15" s="11">
        <v>7027</v>
      </c>
      <c r="G15" s="11">
        <v>228</v>
      </c>
      <c r="H15" s="11">
        <v>7254</v>
      </c>
      <c r="I15" s="11">
        <v>6962</v>
      </c>
      <c r="J15" s="11">
        <v>796</v>
      </c>
      <c r="K15" s="10">
        <v>2059</v>
      </c>
      <c r="L15" s="10">
        <v>9817</v>
      </c>
      <c r="M15" s="10">
        <v>10045</v>
      </c>
      <c r="N15" s="10">
        <v>3028</v>
      </c>
      <c r="O15" s="10">
        <v>169</v>
      </c>
      <c r="P15" s="10">
        <v>1146</v>
      </c>
      <c r="Q15" s="10">
        <v>26</v>
      </c>
      <c r="R15" s="10">
        <v>503</v>
      </c>
      <c r="S15" s="10">
        <v>3340</v>
      </c>
      <c r="T15" s="10">
        <v>6360</v>
      </c>
      <c r="U15" s="10">
        <v>1055</v>
      </c>
      <c r="V15" s="10">
        <v>2165</v>
      </c>
      <c r="W15" s="10">
        <v>17791</v>
      </c>
      <c r="X15" s="10">
        <v>34862</v>
      </c>
      <c r="Y15" s="10">
        <v>5027</v>
      </c>
      <c r="Z15" s="10">
        <v>804</v>
      </c>
      <c r="AA15" s="10">
        <v>39085</v>
      </c>
      <c r="AB15" s="10">
        <v>3092</v>
      </c>
      <c r="AC15" s="10">
        <v>126391</v>
      </c>
    </row>
    <row r="16" spans="1:29" x14ac:dyDescent="0.3">
      <c r="A16" s="9" t="s">
        <v>110</v>
      </c>
      <c r="B16" s="10">
        <v>5687</v>
      </c>
      <c r="C16" s="11">
        <v>2622</v>
      </c>
      <c r="D16" s="11">
        <v>925</v>
      </c>
      <c r="E16" s="11">
        <v>20</v>
      </c>
      <c r="F16" s="11">
        <v>9254</v>
      </c>
      <c r="G16" s="11">
        <v>83</v>
      </c>
      <c r="H16" s="11">
        <v>9337</v>
      </c>
      <c r="I16" s="11">
        <v>6632</v>
      </c>
      <c r="J16" s="11">
        <v>759</v>
      </c>
      <c r="K16" s="10">
        <v>1962</v>
      </c>
      <c r="L16" s="10">
        <v>9352</v>
      </c>
      <c r="M16" s="10">
        <v>9435</v>
      </c>
      <c r="N16" s="10">
        <v>2884</v>
      </c>
      <c r="O16" s="10">
        <v>161</v>
      </c>
      <c r="P16" s="10">
        <v>1091</v>
      </c>
      <c r="Q16" s="10">
        <v>24</v>
      </c>
      <c r="R16" s="10">
        <v>479</v>
      </c>
      <c r="S16" s="10">
        <v>3182</v>
      </c>
      <c r="T16" s="10">
        <v>6058</v>
      </c>
      <c r="U16" s="10">
        <v>1005</v>
      </c>
      <c r="V16" s="10">
        <v>2063</v>
      </c>
      <c r="W16" s="10">
        <v>16947</v>
      </c>
      <c r="X16" s="10">
        <v>35637</v>
      </c>
      <c r="Y16" s="10">
        <v>5138</v>
      </c>
      <c r="Z16" s="10">
        <v>822</v>
      </c>
      <c r="AA16" s="10">
        <v>39953</v>
      </c>
      <c r="AB16" s="10">
        <v>2913</v>
      </c>
      <c r="AC16" s="10">
        <v>137150</v>
      </c>
    </row>
    <row r="17" spans="1:29" x14ac:dyDescent="0.3">
      <c r="A17" s="9" t="s">
        <v>111</v>
      </c>
      <c r="B17" s="10">
        <v>6842</v>
      </c>
      <c r="C17" s="11">
        <v>3433</v>
      </c>
      <c r="D17" s="11">
        <v>604</v>
      </c>
      <c r="E17" s="11">
        <v>23</v>
      </c>
      <c r="F17" s="11">
        <v>10903</v>
      </c>
      <c r="G17" s="11">
        <v>494</v>
      </c>
      <c r="H17" s="11">
        <v>11397</v>
      </c>
      <c r="I17" s="11">
        <v>10722</v>
      </c>
      <c r="J17" s="11">
        <v>1227</v>
      </c>
      <c r="K17" s="10">
        <v>3171</v>
      </c>
      <c r="L17" s="10">
        <v>15120</v>
      </c>
      <c r="M17" s="10">
        <v>15614</v>
      </c>
      <c r="N17" s="10">
        <v>4663</v>
      </c>
      <c r="O17" s="10">
        <v>260</v>
      </c>
      <c r="P17" s="10">
        <v>1764</v>
      </c>
      <c r="Q17" s="10">
        <v>39</v>
      </c>
      <c r="R17" s="10">
        <v>774</v>
      </c>
      <c r="S17" s="10">
        <v>5144</v>
      </c>
      <c r="T17" s="10">
        <v>9795</v>
      </c>
      <c r="U17" s="10">
        <v>1624</v>
      </c>
      <c r="V17" s="10">
        <v>3335</v>
      </c>
      <c r="W17" s="10">
        <v>27400</v>
      </c>
      <c r="X17" s="10">
        <v>53917</v>
      </c>
      <c r="Y17" s="10">
        <v>7774</v>
      </c>
      <c r="Z17" s="10">
        <v>1244</v>
      </c>
      <c r="AA17" s="10">
        <v>60447</v>
      </c>
      <c r="AB17" s="10">
        <v>4469</v>
      </c>
      <c r="AC17" s="10">
        <v>135245</v>
      </c>
    </row>
    <row r="18" spans="1:29" x14ac:dyDescent="0.3">
      <c r="A18" s="9" t="s">
        <v>112</v>
      </c>
      <c r="B18" s="10">
        <v>5941</v>
      </c>
      <c r="C18" s="11">
        <v>2450</v>
      </c>
      <c r="D18" s="11">
        <v>593</v>
      </c>
      <c r="E18" s="11">
        <v>26</v>
      </c>
      <c r="F18" s="11">
        <v>9010</v>
      </c>
      <c r="G18" s="11">
        <v>178</v>
      </c>
      <c r="H18" s="11">
        <v>9188</v>
      </c>
      <c r="I18" s="11">
        <v>11796</v>
      </c>
      <c r="J18" s="11">
        <v>1349</v>
      </c>
      <c r="K18" s="10">
        <v>3489</v>
      </c>
      <c r="L18" s="10">
        <v>16635</v>
      </c>
      <c r="M18" s="10">
        <v>16813</v>
      </c>
      <c r="N18" s="10">
        <v>5130</v>
      </c>
      <c r="O18" s="10">
        <v>286</v>
      </c>
      <c r="P18" s="10">
        <v>1941</v>
      </c>
      <c r="Q18" s="10">
        <v>43</v>
      </c>
      <c r="R18" s="10">
        <v>852</v>
      </c>
      <c r="S18" s="10">
        <v>5660</v>
      </c>
      <c r="T18" s="10">
        <v>10776</v>
      </c>
      <c r="U18" s="10">
        <v>1787</v>
      </c>
      <c r="V18" s="10">
        <v>3669</v>
      </c>
      <c r="W18" s="10">
        <v>30144</v>
      </c>
      <c r="X18" s="10">
        <v>55967</v>
      </c>
      <c r="Y18" s="10">
        <v>8069</v>
      </c>
      <c r="Z18" s="10">
        <v>1291</v>
      </c>
      <c r="AA18" s="10">
        <v>62746</v>
      </c>
      <c r="AB18" s="10">
        <v>4011</v>
      </c>
      <c r="AC18" s="10">
        <v>156431</v>
      </c>
    </row>
    <row r="19" spans="1:29" s="2" customFormat="1" x14ac:dyDescent="0.3">
      <c r="A19" s="12" t="s">
        <v>404</v>
      </c>
      <c r="B19" s="13">
        <v>30495</v>
      </c>
      <c r="C19" s="13">
        <v>16723</v>
      </c>
      <c r="D19" s="13">
        <v>3604</v>
      </c>
      <c r="E19" s="13">
        <v>319</v>
      </c>
      <c r="F19" s="13">
        <v>51142</v>
      </c>
      <c r="G19" s="13">
        <v>1653</v>
      </c>
      <c r="H19" s="13">
        <v>52794</v>
      </c>
      <c r="I19" s="13">
        <v>78718</v>
      </c>
      <c r="J19" s="13">
        <v>9005</v>
      </c>
      <c r="K19" s="13">
        <v>23283</v>
      </c>
      <c r="L19" s="13">
        <v>111005</v>
      </c>
      <c r="M19" s="13">
        <v>112658</v>
      </c>
      <c r="N19" s="13">
        <v>34234</v>
      </c>
      <c r="O19" s="13">
        <v>1911</v>
      </c>
      <c r="P19" s="13">
        <v>12953</v>
      </c>
      <c r="Q19" s="13">
        <v>289</v>
      </c>
      <c r="R19" s="13">
        <v>5685</v>
      </c>
      <c r="S19" s="13">
        <v>37768</v>
      </c>
      <c r="T19" s="13">
        <v>71910</v>
      </c>
      <c r="U19" s="13">
        <v>11925</v>
      </c>
      <c r="V19" s="13">
        <v>24484</v>
      </c>
      <c r="W19" s="13">
        <v>201158</v>
      </c>
      <c r="X19" s="13">
        <v>364958</v>
      </c>
      <c r="Y19" s="13">
        <v>52620</v>
      </c>
      <c r="Z19" s="13">
        <v>8419</v>
      </c>
      <c r="AA19" s="13">
        <v>409161</v>
      </c>
      <c r="AB19" s="13">
        <v>24359</v>
      </c>
      <c r="AC19" s="13">
        <f>AVERAGE(AC14:AC18)</f>
        <v>152958.20000000001</v>
      </c>
    </row>
    <row r="20" spans="1:29" x14ac:dyDescent="0.3">
      <c r="A20" s="31" t="s">
        <v>113</v>
      </c>
      <c r="B20" s="32">
        <v>2418</v>
      </c>
      <c r="C20" s="33">
        <v>2075</v>
      </c>
      <c r="D20" s="33">
        <v>453</v>
      </c>
      <c r="E20" s="33">
        <v>32</v>
      </c>
      <c r="F20" s="33">
        <v>4978</v>
      </c>
      <c r="G20" s="33">
        <v>88</v>
      </c>
      <c r="H20" s="33">
        <v>5066</v>
      </c>
      <c r="I20" s="33">
        <v>9516</v>
      </c>
      <c r="J20" s="33">
        <v>1089</v>
      </c>
      <c r="K20" s="32">
        <v>2815</v>
      </c>
      <c r="L20" s="32">
        <v>13420</v>
      </c>
      <c r="M20" s="32">
        <v>13507</v>
      </c>
      <c r="N20" s="32">
        <v>4139</v>
      </c>
      <c r="O20" s="32">
        <v>231</v>
      </c>
      <c r="P20" s="32">
        <v>1566</v>
      </c>
      <c r="Q20" s="32">
        <v>35</v>
      </c>
      <c r="R20" s="32">
        <v>687</v>
      </c>
      <c r="S20" s="32">
        <v>4566</v>
      </c>
      <c r="T20" s="32">
        <v>8694</v>
      </c>
      <c r="U20" s="32">
        <v>1442</v>
      </c>
      <c r="V20" s="32">
        <v>2960</v>
      </c>
      <c r="W20" s="32">
        <v>24319</v>
      </c>
      <c r="X20" s="32">
        <v>42805</v>
      </c>
      <c r="Y20" s="32">
        <v>6172</v>
      </c>
      <c r="Z20" s="32">
        <v>987</v>
      </c>
      <c r="AA20" s="32">
        <v>47989</v>
      </c>
      <c r="AB20" s="32">
        <v>3849</v>
      </c>
      <c r="AC20" s="32">
        <v>124680</v>
      </c>
    </row>
    <row r="21" spans="1:29" x14ac:dyDescent="0.3">
      <c r="A21" s="31" t="s">
        <v>114</v>
      </c>
      <c r="B21" s="32">
        <v>1742</v>
      </c>
      <c r="C21" s="33">
        <v>1300</v>
      </c>
      <c r="D21" s="33">
        <v>580</v>
      </c>
      <c r="E21" s="33">
        <v>26</v>
      </c>
      <c r="F21" s="33">
        <v>3649</v>
      </c>
      <c r="G21" s="33">
        <v>124</v>
      </c>
      <c r="H21" s="33">
        <v>3773</v>
      </c>
      <c r="I21" s="33">
        <v>3054</v>
      </c>
      <c r="J21" s="33">
        <v>349</v>
      </c>
      <c r="K21" s="32">
        <v>903</v>
      </c>
      <c r="L21" s="32">
        <v>4306</v>
      </c>
      <c r="M21" s="32">
        <v>4430</v>
      </c>
      <c r="N21" s="32">
        <v>1328</v>
      </c>
      <c r="O21" s="32">
        <v>74</v>
      </c>
      <c r="P21" s="32">
        <v>503</v>
      </c>
      <c r="Q21" s="32">
        <v>11</v>
      </c>
      <c r="R21" s="32">
        <v>221</v>
      </c>
      <c r="S21" s="32">
        <v>1465</v>
      </c>
      <c r="T21" s="32">
        <v>2790</v>
      </c>
      <c r="U21" s="32">
        <v>463</v>
      </c>
      <c r="V21" s="32">
        <v>950</v>
      </c>
      <c r="W21" s="32">
        <v>7804</v>
      </c>
      <c r="X21" s="32">
        <v>15884</v>
      </c>
      <c r="Y21" s="32">
        <v>2290</v>
      </c>
      <c r="Z21" s="32">
        <v>366</v>
      </c>
      <c r="AA21" s="32">
        <v>17807</v>
      </c>
      <c r="AB21" s="32">
        <v>2017</v>
      </c>
      <c r="AC21" s="32">
        <v>88284</v>
      </c>
    </row>
    <row r="22" spans="1:29" x14ac:dyDescent="0.3">
      <c r="A22" s="31" t="s">
        <v>115</v>
      </c>
      <c r="B22" s="32">
        <v>2407</v>
      </c>
      <c r="C22" s="33">
        <v>994</v>
      </c>
      <c r="D22" s="33">
        <v>148</v>
      </c>
      <c r="E22" s="33">
        <v>11</v>
      </c>
      <c r="F22" s="33">
        <v>3560</v>
      </c>
      <c r="G22" s="33">
        <v>138</v>
      </c>
      <c r="H22" s="33">
        <v>3698</v>
      </c>
      <c r="I22" s="33">
        <v>3085</v>
      </c>
      <c r="J22" s="33">
        <v>353</v>
      </c>
      <c r="K22" s="32">
        <v>913</v>
      </c>
      <c r="L22" s="32">
        <v>4351</v>
      </c>
      <c r="M22" s="32">
        <v>4489</v>
      </c>
      <c r="N22" s="32">
        <v>1342</v>
      </c>
      <c r="O22" s="32">
        <v>75</v>
      </c>
      <c r="P22" s="32">
        <v>508</v>
      </c>
      <c r="Q22" s="32">
        <v>11</v>
      </c>
      <c r="R22" s="32">
        <v>223</v>
      </c>
      <c r="S22" s="32">
        <v>1480</v>
      </c>
      <c r="T22" s="32">
        <v>2818</v>
      </c>
      <c r="U22" s="32">
        <v>467</v>
      </c>
      <c r="V22" s="32">
        <v>960</v>
      </c>
      <c r="W22" s="32">
        <v>7884</v>
      </c>
      <c r="X22" s="32">
        <v>15933</v>
      </c>
      <c r="Y22" s="32">
        <v>2297</v>
      </c>
      <c r="Z22" s="32">
        <v>368</v>
      </c>
      <c r="AA22" s="32">
        <v>17862</v>
      </c>
      <c r="AB22" s="32">
        <v>1900</v>
      </c>
      <c r="AC22" s="32">
        <v>94035</v>
      </c>
    </row>
    <row r="23" spans="1:29" x14ac:dyDescent="0.3">
      <c r="A23" s="31" t="s">
        <v>116</v>
      </c>
      <c r="B23" s="32">
        <v>1702</v>
      </c>
      <c r="C23" s="33">
        <v>995</v>
      </c>
      <c r="D23" s="33">
        <v>100</v>
      </c>
      <c r="E23" s="33">
        <v>8</v>
      </c>
      <c r="F23" s="33">
        <v>2804</v>
      </c>
      <c r="G23" s="33">
        <v>81</v>
      </c>
      <c r="H23" s="33">
        <v>2886</v>
      </c>
      <c r="I23" s="33">
        <v>1464</v>
      </c>
      <c r="J23" s="33">
        <v>167</v>
      </c>
      <c r="K23" s="32">
        <v>433</v>
      </c>
      <c r="L23" s="32">
        <v>2064</v>
      </c>
      <c r="M23" s="32">
        <v>2145</v>
      </c>
      <c r="N23" s="32">
        <v>637</v>
      </c>
      <c r="O23" s="32">
        <v>36</v>
      </c>
      <c r="P23" s="32">
        <v>241</v>
      </c>
      <c r="Q23" s="32">
        <v>5</v>
      </c>
      <c r="R23" s="32">
        <v>106</v>
      </c>
      <c r="S23" s="32">
        <v>702</v>
      </c>
      <c r="T23" s="32">
        <v>1337</v>
      </c>
      <c r="U23" s="32">
        <v>222</v>
      </c>
      <c r="V23" s="32">
        <v>455</v>
      </c>
      <c r="W23" s="32">
        <v>3741</v>
      </c>
      <c r="X23" s="32">
        <v>8691</v>
      </c>
      <c r="Y23" s="32">
        <v>1253</v>
      </c>
      <c r="Z23" s="32">
        <v>200</v>
      </c>
      <c r="AA23" s="32">
        <v>9743</v>
      </c>
      <c r="AB23" s="32">
        <v>1210</v>
      </c>
      <c r="AC23" s="32">
        <v>80512</v>
      </c>
    </row>
    <row r="24" spans="1:29" x14ac:dyDescent="0.3">
      <c r="A24" s="31" t="s">
        <v>117</v>
      </c>
      <c r="B24" s="32">
        <v>2061</v>
      </c>
      <c r="C24" s="33">
        <v>816</v>
      </c>
      <c r="D24" s="33">
        <v>250</v>
      </c>
      <c r="E24" s="33">
        <v>28</v>
      </c>
      <c r="F24" s="33">
        <v>3155</v>
      </c>
      <c r="G24" s="33">
        <v>118</v>
      </c>
      <c r="H24" s="33">
        <v>3273</v>
      </c>
      <c r="I24" s="33">
        <v>4088</v>
      </c>
      <c r="J24" s="33">
        <v>468</v>
      </c>
      <c r="K24" s="32">
        <v>1209</v>
      </c>
      <c r="L24" s="32">
        <v>5765</v>
      </c>
      <c r="M24" s="32">
        <v>5883</v>
      </c>
      <c r="N24" s="32">
        <v>1778</v>
      </c>
      <c r="O24" s="32">
        <v>99</v>
      </c>
      <c r="P24" s="32">
        <v>673</v>
      </c>
      <c r="Q24" s="32">
        <v>15</v>
      </c>
      <c r="R24" s="32">
        <v>295</v>
      </c>
      <c r="S24" s="32">
        <v>1961</v>
      </c>
      <c r="T24" s="32">
        <v>3735</v>
      </c>
      <c r="U24" s="32">
        <v>619</v>
      </c>
      <c r="V24" s="32">
        <v>1272</v>
      </c>
      <c r="W24" s="32">
        <v>10447</v>
      </c>
      <c r="X24" s="32">
        <v>19485</v>
      </c>
      <c r="Y24" s="32">
        <v>2809</v>
      </c>
      <c r="Z24" s="32">
        <v>449</v>
      </c>
      <c r="AA24" s="32">
        <v>21845</v>
      </c>
      <c r="AB24" s="32">
        <v>2662</v>
      </c>
      <c r="AC24" s="32">
        <v>82053</v>
      </c>
    </row>
    <row r="25" spans="1:29" x14ac:dyDescent="0.3">
      <c r="A25" s="31" t="s">
        <v>118</v>
      </c>
      <c r="B25" s="32">
        <v>1802</v>
      </c>
      <c r="C25" s="33">
        <v>361</v>
      </c>
      <c r="D25" s="33">
        <v>552</v>
      </c>
      <c r="E25" s="33">
        <v>66</v>
      </c>
      <c r="F25" s="33">
        <v>2782</v>
      </c>
      <c r="G25" s="33">
        <v>95</v>
      </c>
      <c r="H25" s="33">
        <v>2877</v>
      </c>
      <c r="I25" s="33">
        <v>6031</v>
      </c>
      <c r="J25" s="33">
        <v>690</v>
      </c>
      <c r="K25" s="32">
        <v>1784</v>
      </c>
      <c r="L25" s="32">
        <v>8504</v>
      </c>
      <c r="M25" s="32">
        <v>8600</v>
      </c>
      <c r="N25" s="32">
        <v>2623</v>
      </c>
      <c r="O25" s="32">
        <v>146</v>
      </c>
      <c r="P25" s="32">
        <v>992</v>
      </c>
      <c r="Q25" s="32">
        <v>22</v>
      </c>
      <c r="R25" s="32">
        <v>436</v>
      </c>
      <c r="S25" s="32">
        <v>2894</v>
      </c>
      <c r="T25" s="32">
        <v>5509</v>
      </c>
      <c r="U25" s="32">
        <v>914</v>
      </c>
      <c r="V25" s="32">
        <v>1876</v>
      </c>
      <c r="W25" s="32">
        <v>15411</v>
      </c>
      <c r="X25" s="32">
        <v>26793</v>
      </c>
      <c r="Y25" s="32">
        <v>3863</v>
      </c>
      <c r="Z25" s="32">
        <v>618</v>
      </c>
      <c r="AA25" s="32">
        <v>30038</v>
      </c>
      <c r="AB25" s="32">
        <v>3472</v>
      </c>
      <c r="AC25" s="32">
        <v>86514</v>
      </c>
    </row>
    <row r="26" spans="1:29" x14ac:dyDescent="0.3">
      <c r="A26" s="31" t="s">
        <v>119</v>
      </c>
      <c r="B26" s="32">
        <v>2167</v>
      </c>
      <c r="C26" s="33">
        <v>417</v>
      </c>
      <c r="D26" s="33">
        <v>208</v>
      </c>
      <c r="E26" s="33">
        <v>19</v>
      </c>
      <c r="F26" s="33">
        <v>2812</v>
      </c>
      <c r="G26" s="33">
        <v>106</v>
      </c>
      <c r="H26" s="33">
        <v>2918</v>
      </c>
      <c r="I26" s="33">
        <v>2528</v>
      </c>
      <c r="J26" s="33">
        <v>289</v>
      </c>
      <c r="K26" s="32">
        <v>748</v>
      </c>
      <c r="L26" s="32">
        <v>3565</v>
      </c>
      <c r="M26" s="32">
        <v>3671</v>
      </c>
      <c r="N26" s="32">
        <v>1100</v>
      </c>
      <c r="O26" s="32">
        <v>61</v>
      </c>
      <c r="P26" s="32">
        <v>416</v>
      </c>
      <c r="Q26" s="32">
        <v>9</v>
      </c>
      <c r="R26" s="32">
        <v>183</v>
      </c>
      <c r="S26" s="32">
        <v>1213</v>
      </c>
      <c r="T26" s="32">
        <v>2310</v>
      </c>
      <c r="U26" s="32">
        <v>383</v>
      </c>
      <c r="V26" s="32">
        <v>786</v>
      </c>
      <c r="W26" s="32">
        <v>6461</v>
      </c>
      <c r="X26" s="32">
        <v>12944</v>
      </c>
      <c r="Y26" s="32">
        <v>1866</v>
      </c>
      <c r="Z26" s="32">
        <v>299</v>
      </c>
      <c r="AA26" s="32">
        <v>14511</v>
      </c>
      <c r="AB26" s="32">
        <v>1705</v>
      </c>
      <c r="AC26" s="32">
        <v>85108</v>
      </c>
    </row>
    <row r="27" spans="1:29" x14ac:dyDescent="0.3">
      <c r="A27" s="31" t="s">
        <v>120</v>
      </c>
      <c r="B27" s="32">
        <v>1995</v>
      </c>
      <c r="C27" s="33">
        <v>399</v>
      </c>
      <c r="D27" s="33">
        <v>1011</v>
      </c>
      <c r="E27" s="33">
        <v>22</v>
      </c>
      <c r="F27" s="33">
        <v>3428</v>
      </c>
      <c r="G27" s="33">
        <v>40</v>
      </c>
      <c r="H27" s="33">
        <v>3467</v>
      </c>
      <c r="I27" s="33">
        <v>4498</v>
      </c>
      <c r="J27" s="33">
        <v>515</v>
      </c>
      <c r="K27" s="32">
        <v>1330</v>
      </c>
      <c r="L27" s="32">
        <v>6342</v>
      </c>
      <c r="M27" s="32">
        <v>6382</v>
      </c>
      <c r="N27" s="32">
        <v>1956</v>
      </c>
      <c r="O27" s="32">
        <v>109</v>
      </c>
      <c r="P27" s="32">
        <v>740</v>
      </c>
      <c r="Q27" s="32">
        <v>17</v>
      </c>
      <c r="R27" s="32">
        <v>325</v>
      </c>
      <c r="S27" s="32">
        <v>2158</v>
      </c>
      <c r="T27" s="32">
        <v>4109</v>
      </c>
      <c r="U27" s="32">
        <v>681</v>
      </c>
      <c r="V27" s="32">
        <v>1399</v>
      </c>
      <c r="W27" s="32">
        <v>11493</v>
      </c>
      <c r="X27" s="32">
        <v>21303</v>
      </c>
      <c r="Y27" s="32">
        <v>3072</v>
      </c>
      <c r="Z27" s="32">
        <v>491</v>
      </c>
      <c r="AA27" s="32">
        <v>23883</v>
      </c>
      <c r="AB27" s="32">
        <v>2533</v>
      </c>
      <c r="AC27" s="32">
        <v>94278</v>
      </c>
    </row>
    <row r="28" spans="1:29" s="2" customFormat="1" x14ac:dyDescent="0.3">
      <c r="A28" s="14" t="s">
        <v>403</v>
      </c>
      <c r="B28" s="15">
        <v>16294</v>
      </c>
      <c r="C28" s="15">
        <v>7357</v>
      </c>
      <c r="D28" s="15">
        <v>3302</v>
      </c>
      <c r="E28" s="15">
        <v>212</v>
      </c>
      <c r="F28" s="15">
        <v>27168</v>
      </c>
      <c r="G28" s="15">
        <v>790</v>
      </c>
      <c r="H28" s="15">
        <v>27958</v>
      </c>
      <c r="I28" s="15">
        <v>34264</v>
      </c>
      <c r="J28" s="15">
        <v>3920</v>
      </c>
      <c r="K28" s="15">
        <v>10135</v>
      </c>
      <c r="L28" s="15">
        <v>48317</v>
      </c>
      <c r="M28" s="15">
        <v>49107</v>
      </c>
      <c r="N28" s="15">
        <v>14903</v>
      </c>
      <c r="O28" s="15">
        <v>831</v>
      </c>
      <c r="P28" s="15">
        <v>5639</v>
      </c>
      <c r="Q28" s="15">
        <v>125</v>
      </c>
      <c r="R28" s="15">
        <v>2476</v>
      </c>
      <c r="S28" s="15">
        <v>16439</v>
      </c>
      <c r="T28" s="15">
        <v>31302</v>
      </c>
      <c r="U28" s="15">
        <v>5191</v>
      </c>
      <c r="V28" s="15">
        <v>10658</v>
      </c>
      <c r="W28" s="15">
        <v>87560</v>
      </c>
      <c r="X28" s="15">
        <v>163838</v>
      </c>
      <c r="Y28" s="15">
        <v>23622</v>
      </c>
      <c r="Z28" s="15">
        <v>3778</v>
      </c>
      <c r="AA28" s="15">
        <v>183678</v>
      </c>
      <c r="AB28" s="15">
        <v>19348</v>
      </c>
      <c r="AC28" s="15">
        <f>AVERAGE(AC20:AC27)</f>
        <v>91933</v>
      </c>
    </row>
    <row r="29" spans="1:29" x14ac:dyDescent="0.3">
      <c r="A29" s="34" t="s">
        <v>121</v>
      </c>
      <c r="B29" s="35">
        <v>2143</v>
      </c>
      <c r="C29" s="36">
        <v>566</v>
      </c>
      <c r="D29" s="36">
        <v>208</v>
      </c>
      <c r="E29" s="36">
        <v>47</v>
      </c>
      <c r="F29" s="36">
        <v>2964</v>
      </c>
      <c r="G29" s="36">
        <v>71</v>
      </c>
      <c r="H29" s="36">
        <v>3035</v>
      </c>
      <c r="I29" s="36">
        <v>3427</v>
      </c>
      <c r="J29" s="36">
        <v>392</v>
      </c>
      <c r="K29" s="35">
        <v>1014</v>
      </c>
      <c r="L29" s="35">
        <v>4832</v>
      </c>
      <c r="M29" s="35">
        <v>4903</v>
      </c>
      <c r="N29" s="35">
        <v>1490</v>
      </c>
      <c r="O29" s="35">
        <v>83</v>
      </c>
      <c r="P29" s="35">
        <v>564</v>
      </c>
      <c r="Q29" s="35">
        <v>13</v>
      </c>
      <c r="R29" s="35">
        <v>247</v>
      </c>
      <c r="S29" s="35">
        <v>1644</v>
      </c>
      <c r="T29" s="35">
        <v>3130</v>
      </c>
      <c r="U29" s="35">
        <v>519</v>
      </c>
      <c r="V29" s="35">
        <v>1066</v>
      </c>
      <c r="W29" s="35">
        <v>8757</v>
      </c>
      <c r="X29" s="35">
        <v>16624</v>
      </c>
      <c r="Y29" s="35">
        <v>2397</v>
      </c>
      <c r="Z29" s="35">
        <v>383</v>
      </c>
      <c r="AA29" s="35">
        <v>18637</v>
      </c>
      <c r="AB29" s="35">
        <v>2665</v>
      </c>
      <c r="AC29" s="35">
        <v>69935</v>
      </c>
    </row>
    <row r="30" spans="1:29" x14ac:dyDescent="0.3">
      <c r="A30" s="34" t="s">
        <v>122</v>
      </c>
      <c r="B30" s="35">
        <v>1569</v>
      </c>
      <c r="C30" s="36">
        <v>390</v>
      </c>
      <c r="D30" s="36">
        <v>131</v>
      </c>
      <c r="E30" s="36">
        <v>16</v>
      </c>
      <c r="F30" s="36">
        <v>2106</v>
      </c>
      <c r="G30" s="36">
        <v>79</v>
      </c>
      <c r="H30" s="36">
        <v>2185</v>
      </c>
      <c r="I30" s="36">
        <v>3839</v>
      </c>
      <c r="J30" s="36">
        <v>439</v>
      </c>
      <c r="K30" s="35">
        <v>1135</v>
      </c>
      <c r="L30" s="35">
        <v>5413</v>
      </c>
      <c r="M30" s="35">
        <v>5493</v>
      </c>
      <c r="N30" s="35">
        <v>1669</v>
      </c>
      <c r="O30" s="35">
        <v>93</v>
      </c>
      <c r="P30" s="35">
        <v>632</v>
      </c>
      <c r="Q30" s="35">
        <v>14</v>
      </c>
      <c r="R30" s="35">
        <v>277</v>
      </c>
      <c r="S30" s="35">
        <v>1842</v>
      </c>
      <c r="T30" s="35">
        <v>3507</v>
      </c>
      <c r="U30" s="35">
        <v>581</v>
      </c>
      <c r="V30" s="35">
        <v>1194</v>
      </c>
      <c r="W30" s="35">
        <v>9810</v>
      </c>
      <c r="X30" s="35">
        <v>17408</v>
      </c>
      <c r="Y30" s="35">
        <v>2510</v>
      </c>
      <c r="Z30" s="35">
        <v>402</v>
      </c>
      <c r="AA30" s="35">
        <v>19517</v>
      </c>
      <c r="AB30" s="35">
        <v>1883</v>
      </c>
      <c r="AC30" s="35">
        <v>103637</v>
      </c>
    </row>
    <row r="31" spans="1:29" x14ac:dyDescent="0.3">
      <c r="A31" s="34" t="s">
        <v>123</v>
      </c>
      <c r="B31" s="35">
        <v>1147</v>
      </c>
      <c r="C31" s="36">
        <v>220</v>
      </c>
      <c r="D31" s="36">
        <v>94</v>
      </c>
      <c r="E31" s="36">
        <v>44</v>
      </c>
      <c r="F31" s="36">
        <v>1506</v>
      </c>
      <c r="G31" s="36">
        <v>33</v>
      </c>
      <c r="H31" s="36">
        <v>1539</v>
      </c>
      <c r="I31" s="36">
        <v>1384</v>
      </c>
      <c r="J31" s="36">
        <v>158</v>
      </c>
      <c r="K31" s="35">
        <v>409</v>
      </c>
      <c r="L31" s="35">
        <v>1952</v>
      </c>
      <c r="M31" s="35">
        <v>1985</v>
      </c>
      <c r="N31" s="35">
        <v>602</v>
      </c>
      <c r="O31" s="35">
        <v>34</v>
      </c>
      <c r="P31" s="35">
        <v>228</v>
      </c>
      <c r="Q31" s="35">
        <v>5</v>
      </c>
      <c r="R31" s="35">
        <v>100</v>
      </c>
      <c r="S31" s="35">
        <v>664</v>
      </c>
      <c r="T31" s="35">
        <v>1264</v>
      </c>
      <c r="U31" s="35">
        <v>210</v>
      </c>
      <c r="V31" s="35">
        <v>431</v>
      </c>
      <c r="W31" s="35">
        <v>3537</v>
      </c>
      <c r="X31" s="35">
        <v>7028</v>
      </c>
      <c r="Y31" s="35">
        <v>1013</v>
      </c>
      <c r="Z31" s="35">
        <v>162</v>
      </c>
      <c r="AA31" s="35">
        <v>7879</v>
      </c>
      <c r="AB31" s="35">
        <v>1232</v>
      </c>
      <c r="AC31" s="35">
        <v>63964</v>
      </c>
    </row>
    <row r="32" spans="1:29" x14ac:dyDescent="0.3">
      <c r="A32" s="34" t="s">
        <v>124</v>
      </c>
      <c r="B32" s="35">
        <v>4571</v>
      </c>
      <c r="C32" s="36">
        <v>216</v>
      </c>
      <c r="D32" s="36">
        <v>431</v>
      </c>
      <c r="E32" s="36">
        <v>47</v>
      </c>
      <c r="F32" s="36">
        <v>5265</v>
      </c>
      <c r="G32" s="36">
        <v>87</v>
      </c>
      <c r="H32" s="36">
        <v>5351</v>
      </c>
      <c r="I32" s="36">
        <v>5462</v>
      </c>
      <c r="J32" s="36">
        <v>625</v>
      </c>
      <c r="K32" s="35">
        <v>1615</v>
      </c>
      <c r="L32" s="35">
        <v>7702</v>
      </c>
      <c r="M32" s="35">
        <v>7789</v>
      </c>
      <c r="N32" s="35">
        <v>2375</v>
      </c>
      <c r="O32" s="35">
        <v>133</v>
      </c>
      <c r="P32" s="35">
        <v>899</v>
      </c>
      <c r="Q32" s="35">
        <v>20</v>
      </c>
      <c r="R32" s="35">
        <v>394</v>
      </c>
      <c r="S32" s="35">
        <v>2621</v>
      </c>
      <c r="T32" s="35">
        <v>4989</v>
      </c>
      <c r="U32" s="35">
        <v>827</v>
      </c>
      <c r="V32" s="35">
        <v>1699</v>
      </c>
      <c r="W32" s="35">
        <v>13957</v>
      </c>
      <c r="X32" s="35">
        <v>27011</v>
      </c>
      <c r="Y32" s="35">
        <v>3894</v>
      </c>
      <c r="Z32" s="35">
        <v>623</v>
      </c>
      <c r="AA32" s="35">
        <v>30282</v>
      </c>
      <c r="AB32" s="35">
        <v>2994</v>
      </c>
      <c r="AC32" s="35">
        <v>101137</v>
      </c>
    </row>
    <row r="33" spans="1:29" x14ac:dyDescent="0.3">
      <c r="A33" s="34" t="s">
        <v>125</v>
      </c>
      <c r="B33" s="35">
        <v>2272</v>
      </c>
      <c r="C33" s="36">
        <v>504</v>
      </c>
      <c r="D33" s="36">
        <v>692</v>
      </c>
      <c r="E33" s="36">
        <v>48</v>
      </c>
      <c r="F33" s="36">
        <v>3515</v>
      </c>
      <c r="G33" s="36">
        <v>1343</v>
      </c>
      <c r="H33" s="36">
        <v>4859</v>
      </c>
      <c r="I33" s="36">
        <v>3869</v>
      </c>
      <c r="J33" s="36">
        <v>443</v>
      </c>
      <c r="K33" s="35">
        <v>1144</v>
      </c>
      <c r="L33" s="35">
        <v>5456</v>
      </c>
      <c r="M33" s="35">
        <v>6799</v>
      </c>
      <c r="N33" s="35">
        <v>1683</v>
      </c>
      <c r="O33" s="35">
        <v>94</v>
      </c>
      <c r="P33" s="35">
        <v>637</v>
      </c>
      <c r="Q33" s="35">
        <v>14</v>
      </c>
      <c r="R33" s="35">
        <v>279</v>
      </c>
      <c r="S33" s="35">
        <v>1856</v>
      </c>
      <c r="T33" s="35">
        <v>3534</v>
      </c>
      <c r="U33" s="35">
        <v>586</v>
      </c>
      <c r="V33" s="35">
        <v>1203</v>
      </c>
      <c r="W33" s="35">
        <v>9887</v>
      </c>
      <c r="X33" s="35">
        <v>20202</v>
      </c>
      <c r="Y33" s="35">
        <v>2913</v>
      </c>
      <c r="Z33" s="35">
        <v>466</v>
      </c>
      <c r="AA33" s="35">
        <v>22649</v>
      </c>
      <c r="AB33" s="35">
        <v>2857</v>
      </c>
      <c r="AC33" s="35">
        <v>79270</v>
      </c>
    </row>
    <row r="34" spans="1:29" s="2" customFormat="1" x14ac:dyDescent="0.3">
      <c r="A34" s="16" t="s">
        <v>407</v>
      </c>
      <c r="B34" s="17">
        <v>11702</v>
      </c>
      <c r="C34" s="17">
        <v>1896</v>
      </c>
      <c r="D34" s="17">
        <v>1556</v>
      </c>
      <c r="E34" s="17">
        <v>202</v>
      </c>
      <c r="F34" s="17">
        <v>15356</v>
      </c>
      <c r="G34" s="17">
        <v>1613</v>
      </c>
      <c r="H34" s="17">
        <v>16969</v>
      </c>
      <c r="I34" s="17">
        <v>17981</v>
      </c>
      <c r="J34" s="17">
        <v>2057</v>
      </c>
      <c r="K34" s="17">
        <v>5317</v>
      </c>
      <c r="L34" s="17">
        <v>25355</v>
      </c>
      <c r="M34" s="17">
        <v>26969</v>
      </c>
      <c r="N34" s="17">
        <v>7819</v>
      </c>
      <c r="O34" s="17">
        <v>437</v>
      </c>
      <c r="P34" s="17">
        <v>2960</v>
      </c>
      <c r="Q34" s="17">
        <v>66</v>
      </c>
      <c r="R34" s="17">
        <v>1297</v>
      </c>
      <c r="S34" s="17">
        <v>8627</v>
      </c>
      <c r="T34" s="17">
        <v>16424</v>
      </c>
      <c r="U34" s="17">
        <v>2723</v>
      </c>
      <c r="V34" s="17">
        <v>5593</v>
      </c>
      <c r="W34" s="17">
        <v>45948</v>
      </c>
      <c r="X34" s="17">
        <v>88273</v>
      </c>
      <c r="Y34" s="17">
        <v>12727</v>
      </c>
      <c r="Z34" s="17">
        <v>2036</v>
      </c>
      <c r="AA34" s="17">
        <v>98964</v>
      </c>
      <c r="AB34" s="17">
        <v>11631</v>
      </c>
      <c r="AC34" s="17">
        <f>AVERAGE(AC29:AC33)</f>
        <v>83588.600000000006</v>
      </c>
    </row>
    <row r="35" spans="1:29" x14ac:dyDescent="0.3">
      <c r="A35" s="20" t="s">
        <v>126</v>
      </c>
      <c r="B35" s="21">
        <v>1372</v>
      </c>
      <c r="C35" s="22">
        <v>261</v>
      </c>
      <c r="D35" s="22">
        <v>461</v>
      </c>
      <c r="E35" s="22">
        <v>32</v>
      </c>
      <c r="F35" s="22">
        <v>2126</v>
      </c>
      <c r="G35" s="22">
        <v>55</v>
      </c>
      <c r="H35" s="22">
        <v>2181</v>
      </c>
      <c r="I35" s="22">
        <v>2859</v>
      </c>
      <c r="J35" s="22">
        <v>327</v>
      </c>
      <c r="K35" s="21">
        <v>846</v>
      </c>
      <c r="L35" s="21">
        <v>4031</v>
      </c>
      <c r="M35" s="21">
        <v>4086</v>
      </c>
      <c r="N35" s="21">
        <v>1243</v>
      </c>
      <c r="O35" s="21">
        <v>69</v>
      </c>
      <c r="P35" s="21">
        <v>470</v>
      </c>
      <c r="Q35" s="21">
        <v>11</v>
      </c>
      <c r="R35" s="21">
        <v>206</v>
      </c>
      <c r="S35" s="21">
        <v>1372</v>
      </c>
      <c r="T35" s="21">
        <v>2612</v>
      </c>
      <c r="U35" s="21">
        <v>433</v>
      </c>
      <c r="V35" s="21">
        <v>889</v>
      </c>
      <c r="W35" s="21">
        <v>7305</v>
      </c>
      <c r="X35" s="21">
        <v>13518</v>
      </c>
      <c r="Y35" s="21">
        <v>1949</v>
      </c>
      <c r="Z35" s="21">
        <v>312</v>
      </c>
      <c r="AA35" s="21">
        <v>15155</v>
      </c>
      <c r="AB35" s="21">
        <v>1347</v>
      </c>
      <c r="AC35" s="21">
        <v>112549</v>
      </c>
    </row>
    <row r="36" spans="1:29" x14ac:dyDescent="0.3">
      <c r="A36" s="20" t="s">
        <v>127</v>
      </c>
      <c r="B36" s="21">
        <v>2938</v>
      </c>
      <c r="C36" s="22">
        <v>494</v>
      </c>
      <c r="D36" s="22">
        <v>488</v>
      </c>
      <c r="E36" s="22">
        <v>135</v>
      </c>
      <c r="F36" s="22">
        <v>4056</v>
      </c>
      <c r="G36" s="22">
        <v>1253</v>
      </c>
      <c r="H36" s="22">
        <v>5309</v>
      </c>
      <c r="I36" s="22">
        <v>18577</v>
      </c>
      <c r="J36" s="22">
        <v>2125</v>
      </c>
      <c r="K36" s="21">
        <v>5495</v>
      </c>
      <c r="L36" s="21">
        <v>26196</v>
      </c>
      <c r="M36" s="21">
        <v>27449</v>
      </c>
      <c r="N36" s="21">
        <v>8079</v>
      </c>
      <c r="O36" s="21">
        <v>451</v>
      </c>
      <c r="P36" s="21">
        <v>3057</v>
      </c>
      <c r="Q36" s="21">
        <v>68</v>
      </c>
      <c r="R36" s="21">
        <v>1341</v>
      </c>
      <c r="S36" s="21">
        <v>8913</v>
      </c>
      <c r="T36" s="21">
        <v>16970</v>
      </c>
      <c r="U36" s="21">
        <v>2814</v>
      </c>
      <c r="V36" s="21">
        <v>5778</v>
      </c>
      <c r="W36" s="21">
        <v>47472</v>
      </c>
      <c r="X36" s="21">
        <v>78976</v>
      </c>
      <c r="Y36" s="21">
        <v>11387</v>
      </c>
      <c r="Z36" s="21">
        <v>1822</v>
      </c>
      <c r="AA36" s="21">
        <v>88542</v>
      </c>
      <c r="AB36" s="21">
        <v>4887</v>
      </c>
      <c r="AC36" s="21">
        <v>181170</v>
      </c>
    </row>
    <row r="37" spans="1:29" x14ac:dyDescent="0.3">
      <c r="A37" s="20" t="s">
        <v>128</v>
      </c>
      <c r="B37" s="21">
        <v>1345</v>
      </c>
      <c r="C37" s="22">
        <v>573</v>
      </c>
      <c r="D37" s="22">
        <v>485</v>
      </c>
      <c r="E37" s="22">
        <v>129</v>
      </c>
      <c r="F37" s="22">
        <v>2531</v>
      </c>
      <c r="G37" s="22">
        <v>530</v>
      </c>
      <c r="H37" s="22">
        <v>3061</v>
      </c>
      <c r="I37" s="22">
        <v>2051</v>
      </c>
      <c r="J37" s="22">
        <v>235</v>
      </c>
      <c r="K37" s="21">
        <v>607</v>
      </c>
      <c r="L37" s="21">
        <v>2892</v>
      </c>
      <c r="M37" s="21">
        <v>3422</v>
      </c>
      <c r="N37" s="21">
        <v>892</v>
      </c>
      <c r="O37" s="21">
        <v>50</v>
      </c>
      <c r="P37" s="21">
        <v>337</v>
      </c>
      <c r="Q37" s="21">
        <v>8</v>
      </c>
      <c r="R37" s="21">
        <v>148</v>
      </c>
      <c r="S37" s="21">
        <v>984</v>
      </c>
      <c r="T37" s="21">
        <v>1873</v>
      </c>
      <c r="U37" s="21">
        <v>311</v>
      </c>
      <c r="V37" s="21">
        <v>638</v>
      </c>
      <c r="W37" s="21">
        <v>5240</v>
      </c>
      <c r="X37" s="21">
        <v>11193</v>
      </c>
      <c r="Y37" s="21">
        <v>1614</v>
      </c>
      <c r="Z37" s="21">
        <v>258</v>
      </c>
      <c r="AA37" s="21">
        <v>12548</v>
      </c>
      <c r="AB37" s="21">
        <v>1236</v>
      </c>
      <c r="AC37" s="21">
        <v>101525</v>
      </c>
    </row>
    <row r="38" spans="1:29" x14ac:dyDescent="0.3">
      <c r="A38" s="20" t="s">
        <v>129</v>
      </c>
      <c r="B38" s="21">
        <v>1288</v>
      </c>
      <c r="C38" s="21">
        <v>286</v>
      </c>
      <c r="D38" s="21">
        <v>394</v>
      </c>
      <c r="E38" s="21">
        <v>102</v>
      </c>
      <c r="F38" s="21">
        <v>2070</v>
      </c>
      <c r="G38" s="21">
        <v>42</v>
      </c>
      <c r="H38" s="21">
        <v>2112</v>
      </c>
      <c r="I38" s="21">
        <v>2493</v>
      </c>
      <c r="J38" s="21">
        <v>285</v>
      </c>
      <c r="K38" s="21">
        <v>737</v>
      </c>
      <c r="L38" s="21">
        <v>3515</v>
      </c>
      <c r="M38" s="21">
        <v>3557</v>
      </c>
      <c r="N38" s="21">
        <v>1084</v>
      </c>
      <c r="O38" s="21">
        <v>61</v>
      </c>
      <c r="P38" s="21">
        <v>410</v>
      </c>
      <c r="Q38" s="21">
        <v>9</v>
      </c>
      <c r="R38" s="21">
        <v>180</v>
      </c>
      <c r="S38" s="21">
        <v>1196</v>
      </c>
      <c r="T38" s="21">
        <v>2277</v>
      </c>
      <c r="U38" s="21">
        <v>378</v>
      </c>
      <c r="V38" s="21">
        <v>775</v>
      </c>
      <c r="W38" s="21">
        <v>6370</v>
      </c>
      <c r="X38" s="21">
        <v>11997</v>
      </c>
      <c r="Y38" s="21">
        <v>1730</v>
      </c>
      <c r="Z38" s="21">
        <v>277</v>
      </c>
      <c r="AA38" s="21">
        <v>13450</v>
      </c>
      <c r="AB38" s="21">
        <v>1360</v>
      </c>
      <c r="AC38" s="21">
        <v>98866</v>
      </c>
    </row>
    <row r="39" spans="1:29" x14ac:dyDescent="0.3">
      <c r="A39" s="20" t="s">
        <v>130</v>
      </c>
      <c r="B39" s="21">
        <v>1509</v>
      </c>
      <c r="C39" s="21">
        <v>315</v>
      </c>
      <c r="D39" s="21">
        <v>766</v>
      </c>
      <c r="E39" s="21">
        <v>100</v>
      </c>
      <c r="F39" s="21">
        <v>2689</v>
      </c>
      <c r="G39" s="21">
        <v>3032</v>
      </c>
      <c r="H39" s="21">
        <v>5721</v>
      </c>
      <c r="I39" s="21">
        <v>4410</v>
      </c>
      <c r="J39" s="21">
        <v>504</v>
      </c>
      <c r="K39" s="21">
        <v>1304</v>
      </c>
      <c r="L39" s="21">
        <v>6218</v>
      </c>
      <c r="M39" s="21">
        <v>9250</v>
      </c>
      <c r="N39" s="21">
        <v>1918</v>
      </c>
      <c r="O39" s="21">
        <v>107</v>
      </c>
      <c r="P39" s="21">
        <v>726</v>
      </c>
      <c r="Q39" s="21">
        <v>16</v>
      </c>
      <c r="R39" s="21">
        <v>318</v>
      </c>
      <c r="S39" s="21">
        <v>2116</v>
      </c>
      <c r="T39" s="21">
        <v>4028</v>
      </c>
      <c r="U39" s="21">
        <v>668</v>
      </c>
      <c r="V39" s="21">
        <v>1372</v>
      </c>
      <c r="W39" s="21">
        <v>11268</v>
      </c>
      <c r="X39" s="21">
        <v>23208</v>
      </c>
      <c r="Y39" s="21">
        <v>3346</v>
      </c>
      <c r="Z39" s="21">
        <v>535</v>
      </c>
      <c r="AA39" s="21">
        <v>26019</v>
      </c>
      <c r="AB39" s="21">
        <v>2284</v>
      </c>
      <c r="AC39" s="21">
        <v>113901</v>
      </c>
    </row>
    <row r="40" spans="1:29" x14ac:dyDescent="0.3">
      <c r="A40" s="20" t="s">
        <v>131</v>
      </c>
      <c r="B40" s="21">
        <v>849</v>
      </c>
      <c r="C40" s="21">
        <v>162</v>
      </c>
      <c r="D40" s="21">
        <v>675</v>
      </c>
      <c r="E40" s="21">
        <v>32</v>
      </c>
      <c r="F40" s="21">
        <v>1719</v>
      </c>
      <c r="G40" s="21">
        <v>47</v>
      </c>
      <c r="H40" s="21">
        <v>1766</v>
      </c>
      <c r="I40" s="21">
        <v>1406</v>
      </c>
      <c r="J40" s="21">
        <v>161</v>
      </c>
      <c r="K40" s="21">
        <v>416</v>
      </c>
      <c r="L40" s="21">
        <v>1982</v>
      </c>
      <c r="M40" s="21">
        <v>2029</v>
      </c>
      <c r="N40" s="21">
        <v>611</v>
      </c>
      <c r="O40" s="21">
        <v>34</v>
      </c>
      <c r="P40" s="21">
        <v>231</v>
      </c>
      <c r="Q40" s="21">
        <v>5</v>
      </c>
      <c r="R40" s="21">
        <v>102</v>
      </c>
      <c r="S40" s="21">
        <v>674</v>
      </c>
      <c r="T40" s="21">
        <v>1284</v>
      </c>
      <c r="U40" s="21">
        <v>213</v>
      </c>
      <c r="V40" s="21">
        <v>437</v>
      </c>
      <c r="W40" s="21">
        <v>3592</v>
      </c>
      <c r="X40" s="21">
        <v>7340</v>
      </c>
      <c r="Y40" s="21">
        <v>1058</v>
      </c>
      <c r="Z40" s="21">
        <v>169</v>
      </c>
      <c r="AA40" s="21">
        <v>8229</v>
      </c>
      <c r="AB40" s="21">
        <v>1101</v>
      </c>
      <c r="AC40" s="21">
        <v>74743</v>
      </c>
    </row>
    <row r="41" spans="1:29" s="2" customFormat="1" x14ac:dyDescent="0.3">
      <c r="A41" s="23" t="s">
        <v>402</v>
      </c>
      <c r="B41" s="24">
        <v>9301</v>
      </c>
      <c r="C41" s="24">
        <v>2091</v>
      </c>
      <c r="D41" s="24">
        <v>3269</v>
      </c>
      <c r="E41" s="24">
        <v>530</v>
      </c>
      <c r="F41" s="24">
        <v>15191</v>
      </c>
      <c r="G41" s="24">
        <v>4959</v>
      </c>
      <c r="H41" s="24">
        <v>20150</v>
      </c>
      <c r="I41" s="24">
        <v>31796</v>
      </c>
      <c r="J41" s="24">
        <v>3637</v>
      </c>
      <c r="K41" s="24">
        <v>9405</v>
      </c>
      <c r="L41" s="24">
        <v>44834</v>
      </c>
      <c r="M41" s="24">
        <v>49793</v>
      </c>
      <c r="N41" s="24">
        <v>13827</v>
      </c>
      <c r="O41" s="24">
        <v>772</v>
      </c>
      <c r="P41" s="24">
        <v>5231</v>
      </c>
      <c r="Q41" s="24">
        <v>117</v>
      </c>
      <c r="R41" s="24">
        <v>2295</v>
      </c>
      <c r="S41" s="24">
        <v>15255</v>
      </c>
      <c r="T41" s="24">
        <v>29044</v>
      </c>
      <c r="U41" s="24">
        <v>4817</v>
      </c>
      <c r="V41" s="24">
        <v>9889</v>
      </c>
      <c r="W41" s="24">
        <v>81247</v>
      </c>
      <c r="X41" s="24">
        <v>146232</v>
      </c>
      <c r="Y41" s="24">
        <v>21084</v>
      </c>
      <c r="Z41" s="24">
        <v>3373</v>
      </c>
      <c r="AA41" s="24">
        <v>163943</v>
      </c>
      <c r="AB41" s="24">
        <v>12215</v>
      </c>
      <c r="AC41" s="24">
        <f>AVERAGE(AC35:AC40)</f>
        <v>113792.33333333333</v>
      </c>
    </row>
    <row r="42" spans="1:29" s="2" customFormat="1" x14ac:dyDescent="0.3">
      <c r="A42" s="25" t="s">
        <v>406</v>
      </c>
      <c r="B42" s="26">
        <v>115141</v>
      </c>
      <c r="C42" s="26">
        <v>39919</v>
      </c>
      <c r="D42" s="26">
        <v>17463</v>
      </c>
      <c r="E42" s="26">
        <v>4749</v>
      </c>
      <c r="F42" s="26">
        <v>177274</v>
      </c>
      <c r="G42" s="26">
        <v>53497</v>
      </c>
      <c r="H42" s="26">
        <v>230772</v>
      </c>
      <c r="I42" s="26">
        <v>341986</v>
      </c>
      <c r="J42" s="26">
        <v>39122</v>
      </c>
      <c r="K42" s="26">
        <v>101151</v>
      </c>
      <c r="L42" s="26">
        <v>482250</v>
      </c>
      <c r="M42" s="26">
        <v>535747</v>
      </c>
      <c r="N42" s="26">
        <v>148726</v>
      </c>
      <c r="O42" s="26">
        <v>8303</v>
      </c>
      <c r="P42" s="26">
        <v>56277</v>
      </c>
      <c r="Q42" s="26">
        <v>1257</v>
      </c>
      <c r="R42" s="26">
        <v>24696</v>
      </c>
      <c r="S42" s="26">
        <v>164080</v>
      </c>
      <c r="T42" s="26">
        <v>312406</v>
      </c>
      <c r="U42" s="26">
        <v>51804</v>
      </c>
      <c r="V42" s="26">
        <v>106369</v>
      </c>
      <c r="W42" s="26">
        <v>873912</v>
      </c>
      <c r="X42" s="26">
        <v>1586938</v>
      </c>
      <c r="Y42" s="26">
        <v>228806</v>
      </c>
      <c r="Z42" s="26">
        <v>36606</v>
      </c>
      <c r="AA42" s="26">
        <v>1779137</v>
      </c>
      <c r="AB42" s="26">
        <v>116925</v>
      </c>
      <c r="AC42" s="26">
        <f>AVERAGE(AC41,AC34,AC28,AC13,AC7,AC19)</f>
        <v>123806.2222222222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42"/>
  <sheetViews>
    <sheetView tabSelected="1" zoomScale="122" zoomScaleNormal="122" workbookViewId="0">
      <selection activeCell="J12" sqref="J12"/>
    </sheetView>
  </sheetViews>
  <sheetFormatPr defaultRowHeight="14.4" x14ac:dyDescent="0.3"/>
  <cols>
    <col min="1" max="1" width="22.33203125" bestFit="1" customWidth="1"/>
    <col min="2" max="2" width="7.21875" bestFit="1" customWidth="1"/>
    <col min="3" max="3" width="7.88671875" customWidth="1"/>
    <col min="4" max="4" width="13.88671875" bestFit="1" customWidth="1"/>
    <col min="5" max="5" width="15.33203125" bestFit="1" customWidth="1"/>
    <col min="6" max="6" width="19.33203125" bestFit="1" customWidth="1"/>
    <col min="7" max="7" width="13.109375" bestFit="1" customWidth="1"/>
    <col min="8" max="8" width="9.44140625" bestFit="1" customWidth="1"/>
    <col min="9" max="9" width="9.77734375" bestFit="1" customWidth="1"/>
    <col min="10" max="10" width="33.6640625" bestFit="1" customWidth="1"/>
    <col min="11" max="11" width="8.6640625" bestFit="1" customWidth="1"/>
    <col min="12" max="12" width="11.33203125" bestFit="1" customWidth="1"/>
    <col min="13" max="13" width="7" bestFit="1" customWidth="1"/>
    <col min="14" max="14" width="22.88671875" bestFit="1" customWidth="1"/>
    <col min="15" max="15" width="6.21875" bestFit="1" customWidth="1"/>
    <col min="16" max="16" width="25.6640625" bestFit="1" customWidth="1"/>
    <col min="17" max="17" width="5.44140625" bestFit="1" customWidth="1"/>
    <col min="18" max="18" width="23.5546875" bestFit="1" customWidth="1"/>
    <col min="19" max="19" width="11.5546875" bestFit="1" customWidth="1"/>
    <col min="20" max="20" width="29.21875" bestFit="1" customWidth="1"/>
    <col min="21" max="21" width="20.6640625" bestFit="1" customWidth="1"/>
    <col min="22" max="22" width="9.5546875" bestFit="1" customWidth="1"/>
    <col min="23" max="23" width="15.5546875" bestFit="1" customWidth="1"/>
    <col min="24" max="24" width="8" bestFit="1" customWidth="1"/>
    <col min="25" max="25" width="11.88671875" bestFit="1" customWidth="1"/>
    <col min="26" max="26" width="17.44140625" bestFit="1" customWidth="1"/>
    <col min="27" max="27" width="8" bestFit="1" customWidth="1"/>
    <col min="28" max="28" width="10.77734375" bestFit="1" customWidth="1"/>
    <col min="29" max="29" width="23.5546875" bestFit="1" customWidth="1"/>
  </cols>
  <sheetData>
    <row r="1" spans="1:29" x14ac:dyDescent="0.3">
      <c r="A1" s="37" t="s">
        <v>0</v>
      </c>
      <c r="B1" s="37" t="s">
        <v>1</v>
      </c>
      <c r="C1" s="37" t="s">
        <v>2</v>
      </c>
      <c r="D1" s="37" t="s">
        <v>382</v>
      </c>
      <c r="E1" s="37" t="s">
        <v>383</v>
      </c>
      <c r="F1" s="37" t="s">
        <v>384</v>
      </c>
      <c r="G1" s="37" t="s">
        <v>385</v>
      </c>
      <c r="H1" s="37" t="s">
        <v>386</v>
      </c>
      <c r="I1" s="37" t="s">
        <v>3</v>
      </c>
      <c r="J1" s="37" t="s">
        <v>387</v>
      </c>
      <c r="K1" s="37" t="s">
        <v>4</v>
      </c>
      <c r="L1" s="37" t="s">
        <v>388</v>
      </c>
      <c r="M1" s="37" t="s">
        <v>389</v>
      </c>
      <c r="N1" s="37" t="s">
        <v>410</v>
      </c>
      <c r="O1" s="38" t="s">
        <v>37</v>
      </c>
      <c r="P1" s="39" t="s">
        <v>411</v>
      </c>
      <c r="Q1" s="37" t="s">
        <v>38</v>
      </c>
      <c r="R1" s="37" t="s">
        <v>390</v>
      </c>
      <c r="S1" s="37" t="s">
        <v>391</v>
      </c>
      <c r="T1" s="37" t="s">
        <v>392</v>
      </c>
      <c r="U1" s="38" t="s">
        <v>393</v>
      </c>
      <c r="V1" s="37" t="s">
        <v>394</v>
      </c>
      <c r="W1" s="37" t="s">
        <v>395</v>
      </c>
      <c r="X1" s="37" t="s">
        <v>396</v>
      </c>
      <c r="Y1" s="39" t="s">
        <v>397</v>
      </c>
      <c r="Z1" s="37" t="s">
        <v>398</v>
      </c>
      <c r="AA1" s="37" t="s">
        <v>399</v>
      </c>
      <c r="AB1" s="37" t="s">
        <v>400</v>
      </c>
      <c r="AC1" s="37" t="s">
        <v>401</v>
      </c>
    </row>
    <row r="2" spans="1:29" x14ac:dyDescent="0.3">
      <c r="A2" s="4" t="s">
        <v>409</v>
      </c>
      <c r="B2" s="5">
        <v>1</v>
      </c>
      <c r="C2" s="5">
        <v>340</v>
      </c>
      <c r="D2" s="5">
        <v>58</v>
      </c>
      <c r="E2" s="5">
        <v>1597</v>
      </c>
      <c r="F2" s="5">
        <v>1996</v>
      </c>
      <c r="G2" s="5">
        <v>35635</v>
      </c>
      <c r="H2" s="5">
        <v>37630</v>
      </c>
      <c r="I2" s="5">
        <v>76747</v>
      </c>
      <c r="J2" s="5">
        <v>8512</v>
      </c>
      <c r="K2" s="5">
        <v>20665</v>
      </c>
      <c r="L2" s="5">
        <v>105924</v>
      </c>
      <c r="M2" s="5">
        <v>141558</v>
      </c>
      <c r="N2" s="5">
        <v>32145</v>
      </c>
      <c r="O2" s="5">
        <v>1885</v>
      </c>
      <c r="P2" s="5">
        <v>12655</v>
      </c>
      <c r="Q2" s="5">
        <v>269</v>
      </c>
      <c r="R2" s="5">
        <v>5977</v>
      </c>
      <c r="S2" s="5">
        <v>36682</v>
      </c>
      <c r="T2" s="5">
        <v>72362</v>
      </c>
      <c r="U2" s="5">
        <v>11687</v>
      </c>
      <c r="V2" s="5">
        <v>25006</v>
      </c>
      <c r="W2" s="5">
        <v>198667</v>
      </c>
      <c r="X2" s="5">
        <v>342221</v>
      </c>
      <c r="Y2" s="5">
        <v>55034</v>
      </c>
      <c r="Z2" s="5">
        <v>6155</v>
      </c>
      <c r="AA2" s="5">
        <v>391101</v>
      </c>
      <c r="AB2" s="5">
        <v>13456</v>
      </c>
      <c r="AC2" s="5">
        <v>290642</v>
      </c>
    </row>
    <row r="3" spans="1:29" x14ac:dyDescent="0.3">
      <c r="A3" s="4" t="s">
        <v>381</v>
      </c>
      <c r="B3" s="5">
        <v>3749</v>
      </c>
      <c r="C3" s="5">
        <v>1029</v>
      </c>
      <c r="D3" s="5">
        <v>1198</v>
      </c>
      <c r="E3" s="5">
        <v>860</v>
      </c>
      <c r="F3" s="5">
        <v>6836</v>
      </c>
      <c r="G3" s="5">
        <v>1335</v>
      </c>
      <c r="H3" s="5">
        <v>8170</v>
      </c>
      <c r="I3" s="5">
        <v>61549</v>
      </c>
      <c r="J3" s="5">
        <v>6826</v>
      </c>
      <c r="K3" s="5">
        <v>16572</v>
      </c>
      <c r="L3" s="5">
        <v>84947</v>
      </c>
      <c r="M3" s="5">
        <v>86282</v>
      </c>
      <c r="N3" s="5">
        <v>25779</v>
      </c>
      <c r="O3" s="5">
        <v>1511</v>
      </c>
      <c r="P3" s="5">
        <v>10149</v>
      </c>
      <c r="Q3" s="5">
        <v>216</v>
      </c>
      <c r="R3" s="5">
        <v>4793</v>
      </c>
      <c r="S3" s="5">
        <v>29418</v>
      </c>
      <c r="T3" s="5">
        <v>58032</v>
      </c>
      <c r="U3" s="5">
        <v>9373</v>
      </c>
      <c r="V3" s="5">
        <v>20054</v>
      </c>
      <c r="W3" s="5">
        <v>159325</v>
      </c>
      <c r="X3" s="5">
        <v>252443</v>
      </c>
      <c r="Y3" s="5">
        <v>40597</v>
      </c>
      <c r="Z3" s="5">
        <v>4540</v>
      </c>
      <c r="AA3" s="5">
        <v>288499</v>
      </c>
      <c r="AB3" s="5">
        <v>11824</v>
      </c>
      <c r="AC3" s="5">
        <v>244003</v>
      </c>
    </row>
    <row r="4" spans="1:29" x14ac:dyDescent="0.3">
      <c r="A4" s="4" t="s">
        <v>132</v>
      </c>
      <c r="B4" s="5">
        <v>3578</v>
      </c>
      <c r="C4" s="5">
        <v>387</v>
      </c>
      <c r="D4" s="5">
        <v>950</v>
      </c>
      <c r="E4" s="5">
        <v>198</v>
      </c>
      <c r="F4" s="5">
        <v>5113</v>
      </c>
      <c r="G4" s="5">
        <v>8250</v>
      </c>
      <c r="H4" s="5">
        <v>13363</v>
      </c>
      <c r="I4" s="5">
        <v>8482</v>
      </c>
      <c r="J4" s="6">
        <v>941</v>
      </c>
      <c r="K4" s="6">
        <v>2284</v>
      </c>
      <c r="L4" s="6">
        <v>11707</v>
      </c>
      <c r="M4" s="6">
        <v>19957</v>
      </c>
      <c r="N4" s="6">
        <v>3553</v>
      </c>
      <c r="O4" s="6">
        <v>208</v>
      </c>
      <c r="P4" s="6">
        <v>1399</v>
      </c>
      <c r="Q4" s="6">
        <v>30</v>
      </c>
      <c r="R4" s="5">
        <v>661</v>
      </c>
      <c r="S4" s="5">
        <v>4054</v>
      </c>
      <c r="T4" s="5">
        <v>7998</v>
      </c>
      <c r="U4" s="5">
        <v>1292</v>
      </c>
      <c r="V4" s="5">
        <v>2764</v>
      </c>
      <c r="W4" s="5">
        <v>21958</v>
      </c>
      <c r="X4" s="5">
        <v>47028</v>
      </c>
      <c r="Y4" s="5">
        <v>7563</v>
      </c>
      <c r="Z4" s="5">
        <v>846</v>
      </c>
      <c r="AA4" s="5">
        <v>53745</v>
      </c>
      <c r="AB4" s="5">
        <v>2759</v>
      </c>
      <c r="AC4" s="5">
        <v>194818</v>
      </c>
    </row>
    <row r="5" spans="1:29" x14ac:dyDescent="0.3">
      <c r="A5" s="4" t="s">
        <v>133</v>
      </c>
      <c r="B5" s="5">
        <v>4362</v>
      </c>
      <c r="C5" s="5">
        <v>224</v>
      </c>
      <c r="D5" s="5">
        <v>381</v>
      </c>
      <c r="E5" s="5">
        <v>471</v>
      </c>
      <c r="F5" s="5">
        <v>5437</v>
      </c>
      <c r="G5" s="5">
        <v>217</v>
      </c>
      <c r="H5" s="5">
        <v>5654</v>
      </c>
      <c r="I5" s="5">
        <v>4067</v>
      </c>
      <c r="J5" s="6">
        <v>451</v>
      </c>
      <c r="K5" s="6">
        <v>1095</v>
      </c>
      <c r="L5" s="6">
        <v>5613</v>
      </c>
      <c r="M5" s="6">
        <v>5830</v>
      </c>
      <c r="N5" s="6">
        <v>1703</v>
      </c>
      <c r="O5" s="6">
        <v>100</v>
      </c>
      <c r="P5" s="6">
        <v>671</v>
      </c>
      <c r="Q5" s="6">
        <v>14</v>
      </c>
      <c r="R5" s="5">
        <v>317</v>
      </c>
      <c r="S5" s="5">
        <v>1944</v>
      </c>
      <c r="T5" s="5">
        <v>3835</v>
      </c>
      <c r="U5" s="5">
        <v>619</v>
      </c>
      <c r="V5" s="5">
        <v>1325</v>
      </c>
      <c r="W5" s="5">
        <v>10528</v>
      </c>
      <c r="X5" s="5">
        <v>21795</v>
      </c>
      <c r="Y5" s="5">
        <v>3505</v>
      </c>
      <c r="Z5" s="5">
        <v>392</v>
      </c>
      <c r="AA5" s="5">
        <v>24908</v>
      </c>
      <c r="AB5" s="5">
        <v>1673</v>
      </c>
      <c r="AC5" s="5">
        <v>148843</v>
      </c>
    </row>
    <row r="6" spans="1:29" x14ac:dyDescent="0.3">
      <c r="A6" s="4" t="s">
        <v>134</v>
      </c>
      <c r="B6" s="5">
        <v>2921</v>
      </c>
      <c r="C6" s="5">
        <v>144</v>
      </c>
      <c r="D6" s="5">
        <v>998</v>
      </c>
      <c r="E6" s="5">
        <v>157</v>
      </c>
      <c r="F6" s="5">
        <v>4220</v>
      </c>
      <c r="G6" s="5">
        <v>446</v>
      </c>
      <c r="H6" s="5">
        <v>4667</v>
      </c>
      <c r="I6" s="5">
        <v>1845</v>
      </c>
      <c r="J6" s="6">
        <v>205</v>
      </c>
      <c r="K6" s="6">
        <v>497</v>
      </c>
      <c r="L6" s="6">
        <v>2546</v>
      </c>
      <c r="M6" s="6">
        <v>2992</v>
      </c>
      <c r="N6" s="6">
        <v>773</v>
      </c>
      <c r="O6" s="6">
        <v>45</v>
      </c>
      <c r="P6" s="6">
        <v>304</v>
      </c>
      <c r="Q6" s="6">
        <v>6</v>
      </c>
      <c r="R6" s="5">
        <v>144</v>
      </c>
      <c r="S6" s="5">
        <v>882</v>
      </c>
      <c r="T6" s="5">
        <v>1739</v>
      </c>
      <c r="U6" s="5">
        <v>281</v>
      </c>
      <c r="V6" s="5">
        <v>601</v>
      </c>
      <c r="W6" s="5">
        <v>4775</v>
      </c>
      <c r="X6" s="5">
        <v>11987</v>
      </c>
      <c r="Y6" s="5">
        <v>1928</v>
      </c>
      <c r="Z6" s="5">
        <v>216</v>
      </c>
      <c r="AA6" s="5">
        <v>13699</v>
      </c>
      <c r="AB6" s="5">
        <v>879</v>
      </c>
      <c r="AC6" s="5">
        <v>155913</v>
      </c>
    </row>
    <row r="7" spans="1:29" s="2" customFormat="1" x14ac:dyDescent="0.3">
      <c r="A7" s="18" t="s">
        <v>405</v>
      </c>
      <c r="B7" s="19">
        <v>14611</v>
      </c>
      <c r="C7" s="19">
        <v>2124</v>
      </c>
      <c r="D7" s="19">
        <v>3585</v>
      </c>
      <c r="E7" s="19">
        <v>3283</v>
      </c>
      <c r="F7" s="19">
        <v>23602</v>
      </c>
      <c r="G7" s="19">
        <v>45883</v>
      </c>
      <c r="H7" s="19">
        <v>69484</v>
      </c>
      <c r="I7" s="19">
        <v>152690</v>
      </c>
      <c r="J7" s="19">
        <v>16935</v>
      </c>
      <c r="K7" s="19">
        <v>41113</v>
      </c>
      <c r="L7" s="19">
        <v>210737</v>
      </c>
      <c r="M7" s="19">
        <v>256619</v>
      </c>
      <c r="N7" s="19">
        <v>63953</v>
      </c>
      <c r="O7" s="19">
        <v>3749</v>
      </c>
      <c r="P7" s="19">
        <v>25178</v>
      </c>
      <c r="Q7" s="19">
        <v>535</v>
      </c>
      <c r="R7" s="19">
        <v>11892</v>
      </c>
      <c r="S7" s="19">
        <v>72980</v>
      </c>
      <c r="T7" s="19">
        <v>143966</v>
      </c>
      <c r="U7" s="19">
        <v>23252</v>
      </c>
      <c r="V7" s="19">
        <v>49750</v>
      </c>
      <c r="W7" s="19">
        <v>395253</v>
      </c>
      <c r="X7" s="19">
        <v>675474</v>
      </c>
      <c r="Y7" s="19">
        <v>108627</v>
      </c>
      <c r="Z7" s="19">
        <v>12149</v>
      </c>
      <c r="AA7" s="19">
        <v>771952</v>
      </c>
      <c r="AB7" s="19">
        <v>30591</v>
      </c>
      <c r="AC7" s="19">
        <f>AVERAGE(AC2:AC6)</f>
        <v>206843.8</v>
      </c>
    </row>
    <row r="8" spans="1:29" x14ac:dyDescent="0.3">
      <c r="A8" s="27" t="s">
        <v>135</v>
      </c>
      <c r="B8" s="28">
        <v>9858</v>
      </c>
      <c r="C8" s="28">
        <v>1754</v>
      </c>
      <c r="D8" s="28">
        <v>522</v>
      </c>
      <c r="E8" s="28">
        <v>39</v>
      </c>
      <c r="F8" s="28">
        <v>12174</v>
      </c>
      <c r="G8" s="28">
        <v>1227</v>
      </c>
      <c r="H8" s="28">
        <v>13401</v>
      </c>
      <c r="I8" s="28">
        <v>17577</v>
      </c>
      <c r="J8" s="29">
        <v>1949</v>
      </c>
      <c r="K8" s="29">
        <v>4733</v>
      </c>
      <c r="L8" s="29">
        <v>24259</v>
      </c>
      <c r="M8" s="29">
        <v>25486</v>
      </c>
      <c r="N8" s="29">
        <v>7362</v>
      </c>
      <c r="O8" s="29">
        <v>432</v>
      </c>
      <c r="P8" s="29">
        <v>2898</v>
      </c>
      <c r="Q8" s="29">
        <v>62</v>
      </c>
      <c r="R8" s="28">
        <v>1369</v>
      </c>
      <c r="S8" s="28">
        <v>8401</v>
      </c>
      <c r="T8" s="28">
        <v>16573</v>
      </c>
      <c r="U8" s="28">
        <v>2677</v>
      </c>
      <c r="V8" s="28">
        <v>5727</v>
      </c>
      <c r="W8" s="28">
        <v>45499</v>
      </c>
      <c r="X8" s="28">
        <v>83159</v>
      </c>
      <c r="Y8" s="28">
        <v>13373</v>
      </c>
      <c r="Z8" s="28">
        <v>1496</v>
      </c>
      <c r="AA8" s="28">
        <v>95037</v>
      </c>
      <c r="AB8" s="28">
        <v>6415</v>
      </c>
      <c r="AC8" s="28">
        <v>148154</v>
      </c>
    </row>
    <row r="9" spans="1:29" x14ac:dyDescent="0.3">
      <c r="A9" s="27" t="s">
        <v>136</v>
      </c>
      <c r="B9" s="28">
        <v>4077</v>
      </c>
      <c r="C9" s="28">
        <v>587</v>
      </c>
      <c r="D9" s="28">
        <v>202</v>
      </c>
      <c r="E9" s="28">
        <v>20</v>
      </c>
      <c r="F9" s="28">
        <v>4886</v>
      </c>
      <c r="G9" s="28">
        <v>296</v>
      </c>
      <c r="H9" s="28">
        <v>5182</v>
      </c>
      <c r="I9" s="28">
        <v>4303</v>
      </c>
      <c r="J9" s="29">
        <v>477</v>
      </c>
      <c r="K9" s="29">
        <v>1159</v>
      </c>
      <c r="L9" s="29">
        <v>5939</v>
      </c>
      <c r="M9" s="29">
        <v>6235</v>
      </c>
      <c r="N9" s="29">
        <v>1802</v>
      </c>
      <c r="O9" s="29">
        <v>106</v>
      </c>
      <c r="P9" s="29">
        <v>710</v>
      </c>
      <c r="Q9" s="29">
        <v>15</v>
      </c>
      <c r="R9" s="28">
        <v>335</v>
      </c>
      <c r="S9" s="28">
        <v>2057</v>
      </c>
      <c r="T9" s="28">
        <v>4057</v>
      </c>
      <c r="U9" s="28">
        <v>655</v>
      </c>
      <c r="V9" s="28">
        <v>1402</v>
      </c>
      <c r="W9" s="28">
        <v>11139</v>
      </c>
      <c r="X9" s="28">
        <v>22259</v>
      </c>
      <c r="Y9" s="28">
        <v>3580</v>
      </c>
      <c r="Z9" s="28">
        <v>400</v>
      </c>
      <c r="AA9" s="28">
        <v>25439</v>
      </c>
      <c r="AB9" s="28">
        <v>2138</v>
      </c>
      <c r="AC9" s="28">
        <v>118995</v>
      </c>
    </row>
    <row r="10" spans="1:29" x14ac:dyDescent="0.3">
      <c r="A10" s="27" t="s">
        <v>137</v>
      </c>
      <c r="B10" s="28">
        <v>1363</v>
      </c>
      <c r="C10" s="28">
        <v>709</v>
      </c>
      <c r="D10" s="28">
        <v>164</v>
      </c>
      <c r="E10" s="28">
        <v>19</v>
      </c>
      <c r="F10" s="28">
        <v>2255</v>
      </c>
      <c r="G10" s="28">
        <v>79</v>
      </c>
      <c r="H10" s="28">
        <v>2334</v>
      </c>
      <c r="I10" s="28">
        <v>2195</v>
      </c>
      <c r="J10" s="29">
        <v>243</v>
      </c>
      <c r="K10" s="29">
        <v>591</v>
      </c>
      <c r="L10" s="29">
        <v>3029</v>
      </c>
      <c r="M10" s="29">
        <v>3108</v>
      </c>
      <c r="N10" s="29">
        <v>919</v>
      </c>
      <c r="O10" s="29">
        <v>54</v>
      </c>
      <c r="P10" s="29">
        <v>362</v>
      </c>
      <c r="Q10" s="29">
        <v>8</v>
      </c>
      <c r="R10" s="28">
        <v>171</v>
      </c>
      <c r="S10" s="28">
        <v>1049</v>
      </c>
      <c r="T10" s="28">
        <v>2070</v>
      </c>
      <c r="U10" s="28">
        <v>334</v>
      </c>
      <c r="V10" s="28">
        <v>715</v>
      </c>
      <c r="W10" s="28">
        <v>5682</v>
      </c>
      <c r="X10" s="28">
        <v>11045</v>
      </c>
      <c r="Y10" s="28">
        <v>1776</v>
      </c>
      <c r="Z10" s="28">
        <v>199</v>
      </c>
      <c r="AA10" s="28">
        <v>12623</v>
      </c>
      <c r="AB10" s="28">
        <v>1708</v>
      </c>
      <c r="AC10" s="28">
        <v>73895</v>
      </c>
    </row>
    <row r="11" spans="1:29" x14ac:dyDescent="0.3">
      <c r="A11" s="27" t="s">
        <v>138</v>
      </c>
      <c r="B11" s="28">
        <v>6636</v>
      </c>
      <c r="C11" s="28">
        <v>948</v>
      </c>
      <c r="D11" s="28">
        <v>376</v>
      </c>
      <c r="E11" s="28">
        <v>29</v>
      </c>
      <c r="F11" s="28">
        <v>7989</v>
      </c>
      <c r="G11" s="28">
        <v>190</v>
      </c>
      <c r="H11" s="28">
        <v>8180</v>
      </c>
      <c r="I11" s="28">
        <v>8661</v>
      </c>
      <c r="J11" s="29">
        <v>961</v>
      </c>
      <c r="K11" s="29">
        <v>2332</v>
      </c>
      <c r="L11" s="29">
        <v>11954</v>
      </c>
      <c r="M11" s="29">
        <v>12144</v>
      </c>
      <c r="N11" s="29">
        <v>3628</v>
      </c>
      <c r="O11" s="29">
        <v>213</v>
      </c>
      <c r="P11" s="29">
        <v>1428</v>
      </c>
      <c r="Q11" s="29">
        <v>30</v>
      </c>
      <c r="R11" s="28">
        <v>674</v>
      </c>
      <c r="S11" s="28">
        <v>4140</v>
      </c>
      <c r="T11" s="28">
        <v>8166</v>
      </c>
      <c r="U11" s="28">
        <v>1319</v>
      </c>
      <c r="V11" s="28">
        <v>2822</v>
      </c>
      <c r="W11" s="28">
        <v>22421</v>
      </c>
      <c r="X11" s="28">
        <v>42554</v>
      </c>
      <c r="Y11" s="28">
        <v>6843</v>
      </c>
      <c r="Z11" s="28">
        <v>765</v>
      </c>
      <c r="AA11" s="28">
        <v>48632</v>
      </c>
      <c r="AB11" s="28">
        <v>4418</v>
      </c>
      <c r="AC11" s="28">
        <v>110073</v>
      </c>
    </row>
    <row r="12" spans="1:29" x14ac:dyDescent="0.3">
      <c r="A12" s="27" t="s">
        <v>380</v>
      </c>
      <c r="B12" s="28">
        <v>7185</v>
      </c>
      <c r="C12" s="28">
        <v>7076</v>
      </c>
      <c r="D12" s="28">
        <v>642</v>
      </c>
      <c r="E12" s="28">
        <v>13</v>
      </c>
      <c r="F12" s="30">
        <v>14916</v>
      </c>
      <c r="G12" s="28">
        <v>322</v>
      </c>
      <c r="H12" s="28">
        <v>15238</v>
      </c>
      <c r="I12" s="28">
        <v>10316</v>
      </c>
      <c r="J12" s="29">
        <v>1144</v>
      </c>
      <c r="K12" s="29">
        <v>2778</v>
      </c>
      <c r="L12" s="29">
        <v>14238</v>
      </c>
      <c r="M12" s="29">
        <v>14560</v>
      </c>
      <c r="N12" s="29">
        <v>4321</v>
      </c>
      <c r="O12" s="29">
        <v>253</v>
      </c>
      <c r="P12" s="29">
        <v>1701</v>
      </c>
      <c r="Q12" s="29">
        <v>36</v>
      </c>
      <c r="R12" s="28">
        <v>803</v>
      </c>
      <c r="S12" s="28">
        <v>4931</v>
      </c>
      <c r="T12" s="28">
        <v>9727</v>
      </c>
      <c r="U12" s="28">
        <v>1571</v>
      </c>
      <c r="V12" s="28">
        <v>3361</v>
      </c>
      <c r="W12" s="28">
        <v>26704</v>
      </c>
      <c r="X12" s="28">
        <v>56180</v>
      </c>
      <c r="Y12" s="28">
        <v>9035</v>
      </c>
      <c r="Z12" s="28">
        <v>1010</v>
      </c>
      <c r="AA12" s="28">
        <v>64204</v>
      </c>
      <c r="AB12" s="28">
        <v>4717</v>
      </c>
      <c r="AC12" s="28">
        <v>136121</v>
      </c>
    </row>
    <row r="13" spans="1:29" s="2" customFormat="1" x14ac:dyDescent="0.3">
      <c r="A13" s="7" t="s">
        <v>408</v>
      </c>
      <c r="B13" s="8">
        <v>29119</v>
      </c>
      <c r="C13" s="8">
        <v>11074</v>
      </c>
      <c r="D13" s="8">
        <v>1906</v>
      </c>
      <c r="E13" s="8">
        <v>120</v>
      </c>
      <c r="F13" s="8">
        <v>42220</v>
      </c>
      <c r="G13" s="8">
        <v>2114</v>
      </c>
      <c r="H13" s="8">
        <v>44335</v>
      </c>
      <c r="I13" s="8">
        <v>43052</v>
      </c>
      <c r="J13" s="8">
        <v>4774</v>
      </c>
      <c r="K13" s="8">
        <v>11593</v>
      </c>
      <c r="L13" s="8">
        <v>59419</v>
      </c>
      <c r="M13" s="8">
        <v>61533</v>
      </c>
      <c r="N13" s="8">
        <v>18032</v>
      </c>
      <c r="O13" s="8">
        <v>1058</v>
      </c>
      <c r="P13" s="8">
        <v>7099</v>
      </c>
      <c r="Q13" s="8">
        <v>151</v>
      </c>
      <c r="R13" s="8">
        <v>3352</v>
      </c>
      <c r="S13" s="8">
        <v>20578</v>
      </c>
      <c r="T13" s="8">
        <v>40593</v>
      </c>
      <c r="U13" s="8">
        <v>6556</v>
      </c>
      <c r="V13" s="8">
        <v>14027</v>
      </c>
      <c r="W13" s="8">
        <v>111445</v>
      </c>
      <c r="X13" s="8">
        <v>215197</v>
      </c>
      <c r="Y13" s="8">
        <v>34607</v>
      </c>
      <c r="Z13" s="8">
        <v>3870</v>
      </c>
      <c r="AA13" s="8">
        <v>245935</v>
      </c>
      <c r="AB13" s="8">
        <v>19396</v>
      </c>
      <c r="AC13" s="8">
        <f>AVERAGE(AC8:AC12)</f>
        <v>117447.6</v>
      </c>
    </row>
    <row r="14" spans="1:29" x14ac:dyDescent="0.3">
      <c r="A14" s="9" t="s">
        <v>139</v>
      </c>
      <c r="B14" s="10">
        <v>9214</v>
      </c>
      <c r="C14" s="10">
        <v>5112</v>
      </c>
      <c r="D14" s="10">
        <v>911</v>
      </c>
      <c r="E14" s="10">
        <v>223</v>
      </c>
      <c r="F14" s="10">
        <v>15460</v>
      </c>
      <c r="G14" s="10">
        <v>858</v>
      </c>
      <c r="H14" s="10">
        <v>16318</v>
      </c>
      <c r="I14" s="10">
        <v>46465</v>
      </c>
      <c r="J14" s="11">
        <v>5153</v>
      </c>
      <c r="K14" s="11">
        <v>12511</v>
      </c>
      <c r="L14" s="11">
        <v>64129</v>
      </c>
      <c r="M14" s="11">
        <v>64988</v>
      </c>
      <c r="N14" s="11">
        <v>19461</v>
      </c>
      <c r="O14" s="11">
        <v>1141</v>
      </c>
      <c r="P14" s="11">
        <v>7662</v>
      </c>
      <c r="Q14" s="11">
        <v>163</v>
      </c>
      <c r="R14" s="10">
        <v>3618</v>
      </c>
      <c r="S14" s="10">
        <v>22208</v>
      </c>
      <c r="T14" s="10">
        <v>43810</v>
      </c>
      <c r="U14" s="10">
        <v>7076</v>
      </c>
      <c r="V14" s="10">
        <v>15139</v>
      </c>
      <c r="W14" s="10">
        <v>120279</v>
      </c>
      <c r="X14" s="10">
        <v>200727</v>
      </c>
      <c r="Y14" s="10">
        <v>32280</v>
      </c>
      <c r="Z14" s="10">
        <v>3610</v>
      </c>
      <c r="AA14" s="10">
        <v>229397</v>
      </c>
      <c r="AB14" s="10">
        <v>9999</v>
      </c>
      <c r="AC14" s="10">
        <v>229429</v>
      </c>
    </row>
    <row r="15" spans="1:29" x14ac:dyDescent="0.3">
      <c r="A15" s="9" t="s">
        <v>140</v>
      </c>
      <c r="B15" s="10">
        <v>4880</v>
      </c>
      <c r="C15" s="10">
        <v>2801</v>
      </c>
      <c r="D15" s="10">
        <v>538</v>
      </c>
      <c r="E15" s="10">
        <v>19</v>
      </c>
      <c r="F15" s="10">
        <v>8239</v>
      </c>
      <c r="G15" s="10">
        <v>423</v>
      </c>
      <c r="H15" s="10">
        <v>8662</v>
      </c>
      <c r="I15" s="10">
        <v>7554</v>
      </c>
      <c r="J15" s="11">
        <v>838</v>
      </c>
      <c r="K15" s="11">
        <v>2034</v>
      </c>
      <c r="L15" s="11">
        <v>10425</v>
      </c>
      <c r="M15" s="11">
        <v>10849</v>
      </c>
      <c r="N15" s="11">
        <v>3164</v>
      </c>
      <c r="O15" s="11">
        <v>185</v>
      </c>
      <c r="P15" s="11">
        <v>1246</v>
      </c>
      <c r="Q15" s="11">
        <v>26</v>
      </c>
      <c r="R15" s="10">
        <v>588</v>
      </c>
      <c r="S15" s="10">
        <v>3610</v>
      </c>
      <c r="T15" s="10">
        <v>7122</v>
      </c>
      <c r="U15" s="10">
        <v>1150</v>
      </c>
      <c r="V15" s="10">
        <v>2461</v>
      </c>
      <c r="W15" s="10">
        <v>19553</v>
      </c>
      <c r="X15" s="10">
        <v>38641</v>
      </c>
      <c r="Y15" s="10">
        <v>6214</v>
      </c>
      <c r="Z15" s="10">
        <v>695</v>
      </c>
      <c r="AA15" s="10">
        <v>44160</v>
      </c>
      <c r="AB15" s="10">
        <v>3117</v>
      </c>
      <c r="AC15" s="10">
        <v>141689</v>
      </c>
    </row>
    <row r="16" spans="1:29" x14ac:dyDescent="0.3">
      <c r="A16" s="9" t="s">
        <v>141</v>
      </c>
      <c r="B16" s="10">
        <v>5449</v>
      </c>
      <c r="C16" s="10">
        <v>2679</v>
      </c>
      <c r="D16" s="10">
        <v>865</v>
      </c>
      <c r="E16" s="10">
        <v>26</v>
      </c>
      <c r="F16" s="10">
        <v>9019</v>
      </c>
      <c r="G16" s="10">
        <v>79</v>
      </c>
      <c r="H16" s="10">
        <v>9098</v>
      </c>
      <c r="I16" s="10">
        <v>7241</v>
      </c>
      <c r="J16" s="11">
        <v>803</v>
      </c>
      <c r="K16" s="11">
        <v>1950</v>
      </c>
      <c r="L16" s="11">
        <v>9993</v>
      </c>
      <c r="M16" s="11">
        <v>10072</v>
      </c>
      <c r="N16" s="11">
        <v>3033</v>
      </c>
      <c r="O16" s="11">
        <v>178</v>
      </c>
      <c r="P16" s="11">
        <v>1194</v>
      </c>
      <c r="Q16" s="11">
        <v>25</v>
      </c>
      <c r="R16" s="10">
        <v>564</v>
      </c>
      <c r="S16" s="10">
        <v>3461</v>
      </c>
      <c r="T16" s="10">
        <v>6827</v>
      </c>
      <c r="U16" s="10">
        <v>1103</v>
      </c>
      <c r="V16" s="10">
        <v>2359</v>
      </c>
      <c r="W16" s="10">
        <v>18743</v>
      </c>
      <c r="X16" s="10">
        <v>37834</v>
      </c>
      <c r="Y16" s="10">
        <v>6084</v>
      </c>
      <c r="Z16" s="10">
        <v>680</v>
      </c>
      <c r="AA16" s="10">
        <v>43238</v>
      </c>
      <c r="AB16" s="10">
        <v>2938</v>
      </c>
      <c r="AC16" s="10">
        <v>147159</v>
      </c>
    </row>
    <row r="17" spans="1:29" x14ac:dyDescent="0.3">
      <c r="A17" s="9" t="s">
        <v>142</v>
      </c>
      <c r="B17" s="10">
        <v>4880</v>
      </c>
      <c r="C17" s="10">
        <v>5335</v>
      </c>
      <c r="D17" s="10">
        <v>618</v>
      </c>
      <c r="E17" s="10">
        <v>28</v>
      </c>
      <c r="F17" s="10">
        <v>10861</v>
      </c>
      <c r="G17" s="10">
        <v>606</v>
      </c>
      <c r="H17" s="10">
        <v>11467</v>
      </c>
      <c r="I17" s="10">
        <v>11685</v>
      </c>
      <c r="J17" s="11">
        <v>1296</v>
      </c>
      <c r="K17" s="11">
        <v>3146</v>
      </c>
      <c r="L17" s="11">
        <v>16127</v>
      </c>
      <c r="M17" s="11">
        <v>16733</v>
      </c>
      <c r="N17" s="11">
        <v>4894</v>
      </c>
      <c r="O17" s="11">
        <v>287</v>
      </c>
      <c r="P17" s="11">
        <v>1927</v>
      </c>
      <c r="Q17" s="11">
        <v>41</v>
      </c>
      <c r="R17" s="10">
        <v>910</v>
      </c>
      <c r="S17" s="10">
        <v>5585</v>
      </c>
      <c r="T17" s="10">
        <v>11017</v>
      </c>
      <c r="U17" s="10">
        <v>1779</v>
      </c>
      <c r="V17" s="10">
        <v>3807</v>
      </c>
      <c r="W17" s="10">
        <v>30247</v>
      </c>
      <c r="X17" s="10">
        <v>57841</v>
      </c>
      <c r="Y17" s="10">
        <v>9302</v>
      </c>
      <c r="Z17" s="10">
        <v>1040</v>
      </c>
      <c r="AA17" s="10">
        <v>66102</v>
      </c>
      <c r="AB17" s="10">
        <v>4511</v>
      </c>
      <c r="AC17" s="10">
        <v>146520</v>
      </c>
    </row>
    <row r="18" spans="1:29" x14ac:dyDescent="0.3">
      <c r="A18" s="9" t="s">
        <v>143</v>
      </c>
      <c r="B18" s="10">
        <v>6185</v>
      </c>
      <c r="C18" s="10">
        <v>2794</v>
      </c>
      <c r="D18" s="10">
        <v>589</v>
      </c>
      <c r="E18" s="10">
        <v>25</v>
      </c>
      <c r="F18" s="10">
        <v>9594</v>
      </c>
      <c r="G18" s="10">
        <v>353</v>
      </c>
      <c r="H18" s="10">
        <v>9947</v>
      </c>
      <c r="I18" s="10">
        <v>12834</v>
      </c>
      <c r="J18" s="11">
        <v>1423</v>
      </c>
      <c r="K18" s="11">
        <v>3456</v>
      </c>
      <c r="L18" s="11">
        <v>17712</v>
      </c>
      <c r="M18" s="11">
        <v>18065</v>
      </c>
      <c r="N18" s="11">
        <v>5375</v>
      </c>
      <c r="O18" s="11">
        <v>315</v>
      </c>
      <c r="P18" s="11">
        <v>2116</v>
      </c>
      <c r="Q18" s="11">
        <v>45</v>
      </c>
      <c r="R18" s="10">
        <v>999</v>
      </c>
      <c r="S18" s="10">
        <v>6134</v>
      </c>
      <c r="T18" s="10">
        <v>12100</v>
      </c>
      <c r="U18" s="10">
        <v>1954</v>
      </c>
      <c r="V18" s="10">
        <v>4181</v>
      </c>
      <c r="W18" s="10">
        <v>33221</v>
      </c>
      <c r="X18" s="10">
        <v>60881</v>
      </c>
      <c r="Y18" s="10">
        <v>9791</v>
      </c>
      <c r="Z18" s="10">
        <v>1095</v>
      </c>
      <c r="AA18" s="10">
        <v>69576</v>
      </c>
      <c r="AB18" s="10">
        <v>4049</v>
      </c>
      <c r="AC18" s="10">
        <v>171857</v>
      </c>
    </row>
    <row r="19" spans="1:29" s="2" customFormat="1" x14ac:dyDescent="0.3">
      <c r="A19" s="12" t="s">
        <v>404</v>
      </c>
      <c r="B19" s="13">
        <v>30608</v>
      </c>
      <c r="C19" s="13">
        <v>18721</v>
      </c>
      <c r="D19" s="13">
        <v>3521</v>
      </c>
      <c r="E19" s="13">
        <v>321</v>
      </c>
      <c r="F19" s="13">
        <v>53173</v>
      </c>
      <c r="G19" s="13">
        <v>2319</v>
      </c>
      <c r="H19" s="13">
        <v>55492</v>
      </c>
      <c r="I19" s="13">
        <v>85779</v>
      </c>
      <c r="J19" s="13">
        <v>9513</v>
      </c>
      <c r="K19" s="13">
        <v>23097</v>
      </c>
      <c r="L19" s="13">
        <v>118386</v>
      </c>
      <c r="M19" s="13">
        <v>120707</v>
      </c>
      <c r="N19" s="13">
        <v>35927</v>
      </c>
      <c r="O19" s="13">
        <v>2106</v>
      </c>
      <c r="P19" s="13">
        <v>14145</v>
      </c>
      <c r="Q19" s="13">
        <v>300</v>
      </c>
      <c r="R19" s="13">
        <v>6679</v>
      </c>
      <c r="S19" s="13">
        <v>40998</v>
      </c>
      <c r="T19" s="13">
        <v>80876</v>
      </c>
      <c r="U19" s="13">
        <v>13062</v>
      </c>
      <c r="V19" s="13">
        <v>27947</v>
      </c>
      <c r="W19" s="13">
        <v>222043</v>
      </c>
      <c r="X19" s="13">
        <v>395924</v>
      </c>
      <c r="Y19" s="13">
        <v>63671</v>
      </c>
      <c r="Z19" s="13">
        <v>7120</v>
      </c>
      <c r="AA19" s="13">
        <v>452473</v>
      </c>
      <c r="AB19" s="13">
        <v>24614</v>
      </c>
      <c r="AC19" s="13">
        <f>AVERAGE(AC14:AC18)</f>
        <v>167330.79999999999</v>
      </c>
    </row>
    <row r="20" spans="1:29" x14ac:dyDescent="0.3">
      <c r="A20" s="31" t="s">
        <v>144</v>
      </c>
      <c r="B20" s="32">
        <v>4214</v>
      </c>
      <c r="C20" s="32">
        <v>1387</v>
      </c>
      <c r="D20" s="32">
        <v>443</v>
      </c>
      <c r="E20" s="32">
        <v>31</v>
      </c>
      <c r="F20" s="32">
        <v>6075</v>
      </c>
      <c r="G20" s="32">
        <v>243</v>
      </c>
      <c r="H20" s="32">
        <v>6318</v>
      </c>
      <c r="I20" s="32">
        <v>10349</v>
      </c>
      <c r="J20" s="33">
        <v>1148</v>
      </c>
      <c r="K20" s="33">
        <v>2786</v>
      </c>
      <c r="L20" s="33">
        <v>14283</v>
      </c>
      <c r="M20" s="33">
        <v>14526</v>
      </c>
      <c r="N20" s="33">
        <v>4334</v>
      </c>
      <c r="O20" s="33">
        <v>254</v>
      </c>
      <c r="P20" s="33">
        <v>1706</v>
      </c>
      <c r="Q20" s="33">
        <v>36</v>
      </c>
      <c r="R20" s="32">
        <v>806</v>
      </c>
      <c r="S20" s="32">
        <v>4946</v>
      </c>
      <c r="T20" s="32">
        <v>9757</v>
      </c>
      <c r="U20" s="32">
        <v>1576</v>
      </c>
      <c r="V20" s="32">
        <v>3372</v>
      </c>
      <c r="W20" s="32">
        <v>26788</v>
      </c>
      <c r="X20" s="32">
        <v>47389</v>
      </c>
      <c r="Y20" s="32">
        <v>7621</v>
      </c>
      <c r="Z20" s="32">
        <v>852</v>
      </c>
      <c r="AA20" s="32">
        <v>54157</v>
      </c>
      <c r="AB20" s="32">
        <v>3890</v>
      </c>
      <c r="AC20" s="32">
        <v>139216</v>
      </c>
    </row>
    <row r="21" spans="1:29" x14ac:dyDescent="0.3">
      <c r="A21" s="31" t="s">
        <v>145</v>
      </c>
      <c r="B21" s="32">
        <v>1920</v>
      </c>
      <c r="C21" s="32">
        <v>683</v>
      </c>
      <c r="D21" s="32">
        <v>539</v>
      </c>
      <c r="E21" s="32">
        <v>34</v>
      </c>
      <c r="F21" s="32">
        <v>3176</v>
      </c>
      <c r="G21" s="32">
        <v>326</v>
      </c>
      <c r="H21" s="32">
        <v>3502</v>
      </c>
      <c r="I21" s="32">
        <v>3285</v>
      </c>
      <c r="J21" s="33">
        <v>364</v>
      </c>
      <c r="K21" s="33">
        <v>884</v>
      </c>
      <c r="L21" s="33">
        <v>4534</v>
      </c>
      <c r="M21" s="33">
        <v>4859</v>
      </c>
      <c r="N21" s="33">
        <v>1376</v>
      </c>
      <c r="O21" s="33">
        <v>81</v>
      </c>
      <c r="P21" s="33">
        <v>542</v>
      </c>
      <c r="Q21" s="33">
        <v>12</v>
      </c>
      <c r="R21" s="32">
        <v>256</v>
      </c>
      <c r="S21" s="32">
        <v>1570</v>
      </c>
      <c r="T21" s="32">
        <v>3097</v>
      </c>
      <c r="U21" s="32">
        <v>500</v>
      </c>
      <c r="V21" s="32">
        <v>1070</v>
      </c>
      <c r="W21" s="32">
        <v>8503</v>
      </c>
      <c r="X21" s="32">
        <v>16539</v>
      </c>
      <c r="Y21" s="32">
        <v>2660</v>
      </c>
      <c r="Z21" s="32">
        <v>297</v>
      </c>
      <c r="AA21" s="32">
        <v>18901</v>
      </c>
      <c r="AB21" s="32">
        <v>2033</v>
      </c>
      <c r="AC21" s="32">
        <v>92972</v>
      </c>
    </row>
    <row r="22" spans="1:29" x14ac:dyDescent="0.3">
      <c r="A22" s="31" t="s">
        <v>146</v>
      </c>
      <c r="B22" s="32">
        <v>1235</v>
      </c>
      <c r="C22" s="32">
        <v>649</v>
      </c>
      <c r="D22" s="32">
        <v>161</v>
      </c>
      <c r="E22" s="32">
        <v>6</v>
      </c>
      <c r="F22" s="32">
        <v>2051</v>
      </c>
      <c r="G22" s="32">
        <v>270</v>
      </c>
      <c r="H22" s="32">
        <v>2321</v>
      </c>
      <c r="I22" s="32">
        <v>3337</v>
      </c>
      <c r="J22" s="33">
        <v>370</v>
      </c>
      <c r="K22" s="33">
        <v>898</v>
      </c>
      <c r="L22" s="33">
        <v>4605</v>
      </c>
      <c r="M22" s="33">
        <v>4875</v>
      </c>
      <c r="N22" s="33">
        <v>1398</v>
      </c>
      <c r="O22" s="33">
        <v>82</v>
      </c>
      <c r="P22" s="33">
        <v>550</v>
      </c>
      <c r="Q22" s="33">
        <v>12</v>
      </c>
      <c r="R22" s="32">
        <v>260</v>
      </c>
      <c r="S22" s="32">
        <v>1595</v>
      </c>
      <c r="T22" s="32">
        <v>3146</v>
      </c>
      <c r="U22" s="32">
        <v>508</v>
      </c>
      <c r="V22" s="32">
        <v>1087</v>
      </c>
      <c r="W22" s="32">
        <v>8638</v>
      </c>
      <c r="X22" s="32">
        <v>15564</v>
      </c>
      <c r="Y22" s="32">
        <v>2503</v>
      </c>
      <c r="Z22" s="32">
        <v>280</v>
      </c>
      <c r="AA22" s="32">
        <v>17787</v>
      </c>
      <c r="AB22" s="32">
        <v>1917</v>
      </c>
      <c r="AC22" s="32">
        <v>92781</v>
      </c>
    </row>
    <row r="23" spans="1:29" x14ac:dyDescent="0.3">
      <c r="A23" s="31" t="s">
        <v>147</v>
      </c>
      <c r="B23" s="32">
        <v>1030</v>
      </c>
      <c r="C23" s="32">
        <v>487</v>
      </c>
      <c r="D23" s="32">
        <v>111</v>
      </c>
      <c r="E23" s="32">
        <v>7</v>
      </c>
      <c r="F23" s="32">
        <v>1635</v>
      </c>
      <c r="G23" s="32">
        <v>260</v>
      </c>
      <c r="H23" s="32">
        <v>1895</v>
      </c>
      <c r="I23" s="32">
        <v>1554</v>
      </c>
      <c r="J23" s="33">
        <v>172</v>
      </c>
      <c r="K23" s="33">
        <v>419</v>
      </c>
      <c r="L23" s="33">
        <v>2145</v>
      </c>
      <c r="M23" s="33">
        <v>2405</v>
      </c>
      <c r="N23" s="33">
        <v>651</v>
      </c>
      <c r="O23" s="33">
        <v>38</v>
      </c>
      <c r="P23" s="33">
        <v>256</v>
      </c>
      <c r="Q23" s="33">
        <v>5</v>
      </c>
      <c r="R23" s="32">
        <v>121</v>
      </c>
      <c r="S23" s="32">
        <v>743</v>
      </c>
      <c r="T23" s="32">
        <v>1466</v>
      </c>
      <c r="U23" s="32">
        <v>237</v>
      </c>
      <c r="V23" s="32">
        <v>506</v>
      </c>
      <c r="W23" s="32">
        <v>4024</v>
      </c>
      <c r="X23" s="32">
        <v>8064</v>
      </c>
      <c r="Y23" s="32">
        <v>1297</v>
      </c>
      <c r="Z23" s="32">
        <v>145</v>
      </c>
      <c r="AA23" s="32">
        <v>9215</v>
      </c>
      <c r="AB23" s="32">
        <v>1219</v>
      </c>
      <c r="AC23" s="32">
        <v>75587</v>
      </c>
    </row>
    <row r="24" spans="1:29" x14ac:dyDescent="0.3">
      <c r="A24" s="31" t="s">
        <v>148</v>
      </c>
      <c r="B24" s="32">
        <v>1609</v>
      </c>
      <c r="C24" s="32">
        <v>1018</v>
      </c>
      <c r="D24" s="32">
        <v>275</v>
      </c>
      <c r="E24" s="32">
        <v>24</v>
      </c>
      <c r="F24" s="32">
        <v>2926</v>
      </c>
      <c r="G24" s="32">
        <v>176</v>
      </c>
      <c r="H24" s="32">
        <v>3103</v>
      </c>
      <c r="I24" s="32">
        <v>4450</v>
      </c>
      <c r="J24" s="33">
        <v>493</v>
      </c>
      <c r="K24" s="33">
        <v>1198</v>
      </c>
      <c r="L24" s="33">
        <v>6141</v>
      </c>
      <c r="M24" s="33">
        <v>6317</v>
      </c>
      <c r="N24" s="33">
        <v>1864</v>
      </c>
      <c r="O24" s="33">
        <v>109</v>
      </c>
      <c r="P24" s="33">
        <v>734</v>
      </c>
      <c r="Q24" s="33">
        <v>16</v>
      </c>
      <c r="R24" s="32">
        <v>347</v>
      </c>
      <c r="S24" s="32">
        <v>2127</v>
      </c>
      <c r="T24" s="32">
        <v>4195</v>
      </c>
      <c r="U24" s="32">
        <v>678</v>
      </c>
      <c r="V24" s="32">
        <v>1450</v>
      </c>
      <c r="W24" s="32">
        <v>11518</v>
      </c>
      <c r="X24" s="32">
        <v>20762</v>
      </c>
      <c r="Y24" s="32">
        <v>3339</v>
      </c>
      <c r="Z24" s="32">
        <v>373</v>
      </c>
      <c r="AA24" s="32">
        <v>23727</v>
      </c>
      <c r="AB24" s="32">
        <v>2684</v>
      </c>
      <c r="AC24" s="32">
        <v>88418</v>
      </c>
    </row>
    <row r="25" spans="1:29" x14ac:dyDescent="0.3">
      <c r="A25" s="31" t="s">
        <v>149</v>
      </c>
      <c r="B25" s="32">
        <v>1656</v>
      </c>
      <c r="C25" s="32">
        <v>1048</v>
      </c>
      <c r="D25" s="32">
        <v>544</v>
      </c>
      <c r="E25" s="32">
        <v>49</v>
      </c>
      <c r="F25" s="32">
        <v>3297</v>
      </c>
      <c r="G25" s="32">
        <v>56</v>
      </c>
      <c r="H25" s="32">
        <v>3353</v>
      </c>
      <c r="I25" s="32">
        <v>6594</v>
      </c>
      <c r="J25" s="33">
        <v>731</v>
      </c>
      <c r="K25" s="33">
        <v>1775</v>
      </c>
      <c r="L25" s="33">
        <v>9100</v>
      </c>
      <c r="M25" s="33">
        <v>9157</v>
      </c>
      <c r="N25" s="33">
        <v>2762</v>
      </c>
      <c r="O25" s="33">
        <v>162</v>
      </c>
      <c r="P25" s="33">
        <v>1087</v>
      </c>
      <c r="Q25" s="33">
        <v>23</v>
      </c>
      <c r="R25" s="32">
        <v>513</v>
      </c>
      <c r="S25" s="32">
        <v>3152</v>
      </c>
      <c r="T25" s="32">
        <v>6217</v>
      </c>
      <c r="U25" s="32">
        <v>1004</v>
      </c>
      <c r="V25" s="32">
        <v>2148</v>
      </c>
      <c r="W25" s="32">
        <v>17068</v>
      </c>
      <c r="X25" s="32">
        <v>29522</v>
      </c>
      <c r="Y25" s="32">
        <v>4748</v>
      </c>
      <c r="Z25" s="32">
        <v>531</v>
      </c>
      <c r="AA25" s="32">
        <v>33739</v>
      </c>
      <c r="AB25" s="32">
        <v>3503</v>
      </c>
      <c r="AC25" s="32">
        <v>96325</v>
      </c>
    </row>
    <row r="26" spans="1:29" x14ac:dyDescent="0.3">
      <c r="A26" s="31" t="s">
        <v>150</v>
      </c>
      <c r="B26" s="32">
        <v>1305</v>
      </c>
      <c r="C26" s="32">
        <v>770</v>
      </c>
      <c r="D26" s="32">
        <v>229</v>
      </c>
      <c r="E26" s="32">
        <v>13</v>
      </c>
      <c r="F26" s="32">
        <v>2318</v>
      </c>
      <c r="G26" s="32">
        <v>180</v>
      </c>
      <c r="H26" s="32">
        <v>2498</v>
      </c>
      <c r="I26" s="32">
        <v>2743</v>
      </c>
      <c r="J26" s="33">
        <v>304</v>
      </c>
      <c r="K26" s="33">
        <v>739</v>
      </c>
      <c r="L26" s="33">
        <v>3786</v>
      </c>
      <c r="M26" s="33">
        <v>3966</v>
      </c>
      <c r="N26" s="33">
        <v>1149</v>
      </c>
      <c r="O26" s="33">
        <v>67</v>
      </c>
      <c r="P26" s="33">
        <v>452</v>
      </c>
      <c r="Q26" s="33">
        <v>10</v>
      </c>
      <c r="R26" s="32">
        <v>214</v>
      </c>
      <c r="S26" s="32">
        <v>1311</v>
      </c>
      <c r="T26" s="32">
        <v>2586</v>
      </c>
      <c r="U26" s="32">
        <v>418</v>
      </c>
      <c r="V26" s="32">
        <v>894</v>
      </c>
      <c r="W26" s="32">
        <v>7100</v>
      </c>
      <c r="X26" s="32">
        <v>13384</v>
      </c>
      <c r="Y26" s="32">
        <v>2152</v>
      </c>
      <c r="Z26" s="32">
        <v>241</v>
      </c>
      <c r="AA26" s="32">
        <v>15296</v>
      </c>
      <c r="AB26" s="32">
        <v>1718</v>
      </c>
      <c r="AC26" s="32">
        <v>89029</v>
      </c>
    </row>
    <row r="27" spans="1:29" x14ac:dyDescent="0.3">
      <c r="A27" s="31" t="s">
        <v>151</v>
      </c>
      <c r="B27" s="32">
        <v>1523</v>
      </c>
      <c r="C27" s="32">
        <v>540</v>
      </c>
      <c r="D27" s="32">
        <v>911</v>
      </c>
      <c r="E27" s="32">
        <v>11</v>
      </c>
      <c r="F27" s="32">
        <v>2986</v>
      </c>
      <c r="G27" s="32">
        <v>21</v>
      </c>
      <c r="H27" s="32">
        <v>3007</v>
      </c>
      <c r="I27" s="32">
        <v>4914</v>
      </c>
      <c r="J27" s="33">
        <v>545</v>
      </c>
      <c r="K27" s="33">
        <v>1323</v>
      </c>
      <c r="L27" s="33">
        <v>6782</v>
      </c>
      <c r="M27" s="33">
        <v>6803</v>
      </c>
      <c r="N27" s="33">
        <v>2058</v>
      </c>
      <c r="O27" s="33">
        <v>121</v>
      </c>
      <c r="P27" s="33">
        <v>810</v>
      </c>
      <c r="Q27" s="33">
        <v>17</v>
      </c>
      <c r="R27" s="32">
        <v>383</v>
      </c>
      <c r="S27" s="32">
        <v>2349</v>
      </c>
      <c r="T27" s="32">
        <v>4633</v>
      </c>
      <c r="U27" s="32">
        <v>748</v>
      </c>
      <c r="V27" s="32">
        <v>1601</v>
      </c>
      <c r="W27" s="32">
        <v>12720</v>
      </c>
      <c r="X27" s="32">
        <v>22509</v>
      </c>
      <c r="Y27" s="32">
        <v>3620</v>
      </c>
      <c r="Z27" s="32">
        <v>405</v>
      </c>
      <c r="AA27" s="32">
        <v>25724</v>
      </c>
      <c r="AB27" s="32">
        <v>2555</v>
      </c>
      <c r="AC27" s="32">
        <v>100679</v>
      </c>
    </row>
    <row r="28" spans="1:29" s="2" customFormat="1" x14ac:dyDescent="0.3">
      <c r="A28" s="14" t="s">
        <v>403</v>
      </c>
      <c r="B28" s="15">
        <v>14492</v>
      </c>
      <c r="C28" s="15">
        <v>6582</v>
      </c>
      <c r="D28" s="15">
        <v>3213</v>
      </c>
      <c r="E28" s="15">
        <v>175</v>
      </c>
      <c r="F28" s="15">
        <v>24464</v>
      </c>
      <c r="G28" s="15">
        <v>1532</v>
      </c>
      <c r="H28" s="15">
        <v>25997</v>
      </c>
      <c r="I28" s="15">
        <v>37226</v>
      </c>
      <c r="J28" s="15">
        <v>4127</v>
      </c>
      <c r="K28" s="15">
        <v>10022</v>
      </c>
      <c r="L28" s="15">
        <v>51376</v>
      </c>
      <c r="M28" s="15">
        <v>52908</v>
      </c>
      <c r="N28" s="15">
        <v>15592</v>
      </c>
      <c r="O28" s="15">
        <v>914</v>
      </c>
      <c r="P28" s="15">
        <v>6137</v>
      </c>
      <c r="Q28" s="15">
        <v>131</v>
      </c>
      <c r="R28" s="15">
        <v>2900</v>
      </c>
      <c r="S28" s="15">
        <v>17793</v>
      </c>
      <c r="T28" s="15">
        <v>35097</v>
      </c>
      <c r="U28" s="15">
        <v>5669</v>
      </c>
      <c r="V28" s="15">
        <v>12128</v>
      </c>
      <c r="W28" s="15">
        <v>96359</v>
      </c>
      <c r="X28" s="15">
        <v>173733</v>
      </c>
      <c r="Y28" s="15">
        <v>27940</v>
      </c>
      <c r="Z28" s="15">
        <v>3124</v>
      </c>
      <c r="AA28" s="15">
        <v>198546</v>
      </c>
      <c r="AB28" s="15">
        <v>19519</v>
      </c>
      <c r="AC28" s="15">
        <f>AVERAGE(AC20:AC27)</f>
        <v>96875.875</v>
      </c>
    </row>
    <row r="29" spans="1:29" x14ac:dyDescent="0.3">
      <c r="A29" s="34" t="s">
        <v>152</v>
      </c>
      <c r="B29" s="35">
        <v>2135</v>
      </c>
      <c r="C29" s="35">
        <v>765</v>
      </c>
      <c r="D29" s="35">
        <v>229</v>
      </c>
      <c r="E29" s="35">
        <v>45</v>
      </c>
      <c r="F29" s="35">
        <v>3174</v>
      </c>
      <c r="G29" s="35">
        <v>128</v>
      </c>
      <c r="H29" s="35">
        <v>3302</v>
      </c>
      <c r="I29" s="35">
        <v>3727</v>
      </c>
      <c r="J29" s="36">
        <v>413</v>
      </c>
      <c r="K29" s="36">
        <v>1003</v>
      </c>
      <c r="L29" s="36">
        <v>5144</v>
      </c>
      <c r="M29" s="36">
        <v>5272</v>
      </c>
      <c r="N29" s="36">
        <v>1561</v>
      </c>
      <c r="O29" s="36">
        <v>92</v>
      </c>
      <c r="P29" s="36">
        <v>615</v>
      </c>
      <c r="Q29" s="36">
        <v>13</v>
      </c>
      <c r="R29" s="35">
        <v>290</v>
      </c>
      <c r="S29" s="35">
        <v>1781</v>
      </c>
      <c r="T29" s="35">
        <v>3514</v>
      </c>
      <c r="U29" s="35">
        <v>568</v>
      </c>
      <c r="V29" s="35">
        <v>1214</v>
      </c>
      <c r="W29" s="35">
        <v>9647</v>
      </c>
      <c r="X29" s="35">
        <v>18093</v>
      </c>
      <c r="Y29" s="35">
        <v>2910</v>
      </c>
      <c r="Z29" s="35">
        <v>325</v>
      </c>
      <c r="AA29" s="35">
        <v>20678</v>
      </c>
      <c r="AB29" s="35">
        <v>2687</v>
      </c>
      <c r="AC29" s="35">
        <v>76965</v>
      </c>
    </row>
    <row r="30" spans="1:29" x14ac:dyDescent="0.3">
      <c r="A30" s="34" t="s">
        <v>153</v>
      </c>
      <c r="B30" s="35">
        <v>1951</v>
      </c>
      <c r="C30" s="35">
        <v>413</v>
      </c>
      <c r="D30" s="35">
        <v>143</v>
      </c>
      <c r="E30" s="35">
        <v>12</v>
      </c>
      <c r="F30" s="35">
        <v>2518</v>
      </c>
      <c r="G30" s="35">
        <v>118</v>
      </c>
      <c r="H30" s="35">
        <v>2636</v>
      </c>
      <c r="I30" s="35">
        <v>4181</v>
      </c>
      <c r="J30" s="36">
        <v>464</v>
      </c>
      <c r="K30" s="36">
        <v>1126</v>
      </c>
      <c r="L30" s="36">
        <v>5771</v>
      </c>
      <c r="M30" s="36">
        <v>5889</v>
      </c>
      <c r="N30" s="36">
        <v>1751</v>
      </c>
      <c r="O30" s="36">
        <v>103</v>
      </c>
      <c r="P30" s="36">
        <v>689</v>
      </c>
      <c r="Q30" s="36">
        <v>15</v>
      </c>
      <c r="R30" s="35">
        <v>326</v>
      </c>
      <c r="S30" s="35">
        <v>1999</v>
      </c>
      <c r="T30" s="35">
        <v>3943</v>
      </c>
      <c r="U30" s="35">
        <v>637</v>
      </c>
      <c r="V30" s="35">
        <v>1362</v>
      </c>
      <c r="W30" s="35">
        <v>10824</v>
      </c>
      <c r="X30" s="35">
        <v>19231</v>
      </c>
      <c r="Y30" s="35">
        <v>3093</v>
      </c>
      <c r="Z30" s="35">
        <v>346</v>
      </c>
      <c r="AA30" s="35">
        <v>21978</v>
      </c>
      <c r="AB30" s="35">
        <v>1902</v>
      </c>
      <c r="AC30" s="35">
        <v>115526</v>
      </c>
    </row>
    <row r="31" spans="1:29" x14ac:dyDescent="0.3">
      <c r="A31" s="34" t="s">
        <v>154</v>
      </c>
      <c r="B31" s="35">
        <v>1556</v>
      </c>
      <c r="C31" s="35">
        <v>422</v>
      </c>
      <c r="D31" s="35">
        <v>104</v>
      </c>
      <c r="E31" s="35">
        <v>36</v>
      </c>
      <c r="F31" s="35">
        <v>2118</v>
      </c>
      <c r="G31" s="35">
        <v>43</v>
      </c>
      <c r="H31" s="35">
        <v>2161</v>
      </c>
      <c r="I31" s="35">
        <v>1509</v>
      </c>
      <c r="J31" s="36">
        <v>167</v>
      </c>
      <c r="K31" s="36">
        <v>406</v>
      </c>
      <c r="L31" s="36">
        <v>2082</v>
      </c>
      <c r="M31" s="36">
        <v>2126</v>
      </c>
      <c r="N31" s="36">
        <v>632</v>
      </c>
      <c r="O31" s="36">
        <v>37</v>
      </c>
      <c r="P31" s="36">
        <v>249</v>
      </c>
      <c r="Q31" s="36">
        <v>5</v>
      </c>
      <c r="R31" s="35">
        <v>118</v>
      </c>
      <c r="S31" s="35">
        <v>721</v>
      </c>
      <c r="T31" s="35">
        <v>1423</v>
      </c>
      <c r="U31" s="35">
        <v>230</v>
      </c>
      <c r="V31" s="35">
        <v>492</v>
      </c>
      <c r="W31" s="35">
        <v>3906</v>
      </c>
      <c r="X31" s="35">
        <v>8150</v>
      </c>
      <c r="Y31" s="35">
        <v>1311</v>
      </c>
      <c r="Z31" s="35">
        <v>147</v>
      </c>
      <c r="AA31" s="35">
        <v>9314</v>
      </c>
      <c r="AB31" s="35">
        <v>1241</v>
      </c>
      <c r="AC31" s="35">
        <v>75030</v>
      </c>
    </row>
    <row r="32" spans="1:29" x14ac:dyDescent="0.3">
      <c r="A32" s="34" t="s">
        <v>155</v>
      </c>
      <c r="B32" s="35">
        <v>4883</v>
      </c>
      <c r="C32" s="35">
        <v>663</v>
      </c>
      <c r="D32" s="35">
        <v>424</v>
      </c>
      <c r="E32" s="35">
        <v>50</v>
      </c>
      <c r="F32" s="35">
        <v>6021</v>
      </c>
      <c r="G32" s="35">
        <v>108</v>
      </c>
      <c r="H32" s="35">
        <v>6129</v>
      </c>
      <c r="I32" s="35">
        <v>5957</v>
      </c>
      <c r="J32" s="36">
        <v>661</v>
      </c>
      <c r="K32" s="36">
        <v>1604</v>
      </c>
      <c r="L32" s="36">
        <v>8222</v>
      </c>
      <c r="M32" s="36">
        <v>8330</v>
      </c>
      <c r="N32" s="36">
        <v>2495</v>
      </c>
      <c r="O32" s="36">
        <v>146</v>
      </c>
      <c r="P32" s="36">
        <v>982</v>
      </c>
      <c r="Q32" s="36">
        <v>21</v>
      </c>
      <c r="R32" s="35">
        <v>464</v>
      </c>
      <c r="S32" s="35">
        <v>2847</v>
      </c>
      <c r="T32" s="35">
        <v>5617</v>
      </c>
      <c r="U32" s="35">
        <v>907</v>
      </c>
      <c r="V32" s="35">
        <v>1941</v>
      </c>
      <c r="W32" s="35">
        <v>15421</v>
      </c>
      <c r="X32" s="35">
        <v>29772</v>
      </c>
      <c r="Y32" s="35">
        <v>4788</v>
      </c>
      <c r="Z32" s="35">
        <v>535</v>
      </c>
      <c r="AA32" s="35">
        <v>34025</v>
      </c>
      <c r="AB32" s="35">
        <v>3024</v>
      </c>
      <c r="AC32" s="35">
        <v>112532</v>
      </c>
    </row>
    <row r="33" spans="1:29" x14ac:dyDescent="0.3">
      <c r="A33" s="34" t="s">
        <v>156</v>
      </c>
      <c r="B33" s="35">
        <v>3749</v>
      </c>
      <c r="C33" s="35">
        <v>810</v>
      </c>
      <c r="D33" s="35">
        <v>650</v>
      </c>
      <c r="E33" s="35">
        <v>50</v>
      </c>
      <c r="F33" s="35">
        <v>5259</v>
      </c>
      <c r="G33" s="35">
        <v>1418</v>
      </c>
      <c r="H33" s="35">
        <v>6677</v>
      </c>
      <c r="I33" s="35">
        <v>4235</v>
      </c>
      <c r="J33" s="36">
        <v>470</v>
      </c>
      <c r="K33" s="36">
        <v>1140</v>
      </c>
      <c r="L33" s="36">
        <v>5845</v>
      </c>
      <c r="M33" s="36">
        <v>7263</v>
      </c>
      <c r="N33" s="36">
        <v>1774</v>
      </c>
      <c r="O33" s="36">
        <v>104</v>
      </c>
      <c r="P33" s="36">
        <v>698</v>
      </c>
      <c r="Q33" s="36">
        <v>15</v>
      </c>
      <c r="R33" s="35">
        <v>330</v>
      </c>
      <c r="S33" s="35">
        <v>2024</v>
      </c>
      <c r="T33" s="35">
        <v>3993</v>
      </c>
      <c r="U33" s="35">
        <v>645</v>
      </c>
      <c r="V33" s="35">
        <v>1380</v>
      </c>
      <c r="W33" s="35">
        <v>10962</v>
      </c>
      <c r="X33" s="35">
        <v>23484</v>
      </c>
      <c r="Y33" s="35">
        <v>3777</v>
      </c>
      <c r="Z33" s="35">
        <v>422</v>
      </c>
      <c r="AA33" s="35">
        <v>26838</v>
      </c>
      <c r="AB33" s="35">
        <v>2880</v>
      </c>
      <c r="AC33" s="35">
        <v>93173</v>
      </c>
    </row>
    <row r="34" spans="1:29" s="2" customFormat="1" x14ac:dyDescent="0.3">
      <c r="A34" s="16" t="s">
        <v>407</v>
      </c>
      <c r="B34" s="17">
        <v>14274</v>
      </c>
      <c r="C34" s="17">
        <v>3073</v>
      </c>
      <c r="D34" s="17">
        <v>1550</v>
      </c>
      <c r="E34" s="17">
        <v>193</v>
      </c>
      <c r="F34" s="17">
        <v>19090</v>
      </c>
      <c r="G34" s="17">
        <v>1815</v>
      </c>
      <c r="H34" s="17">
        <v>20905</v>
      </c>
      <c r="I34" s="17">
        <v>19609</v>
      </c>
      <c r="J34" s="17">
        <v>2175</v>
      </c>
      <c r="K34" s="17">
        <v>5279</v>
      </c>
      <c r="L34" s="17">
        <v>27064</v>
      </c>
      <c r="M34" s="17">
        <v>28880</v>
      </c>
      <c r="N34" s="17">
        <v>8213</v>
      </c>
      <c r="O34" s="17">
        <v>482</v>
      </c>
      <c r="P34" s="17">
        <v>3233</v>
      </c>
      <c r="Q34" s="17">
        <v>69</v>
      </c>
      <c r="R34" s="17">
        <v>1528</v>
      </c>
      <c r="S34" s="17">
        <v>9372</v>
      </c>
      <c r="T34" s="17">
        <v>18490</v>
      </c>
      <c r="U34" s="17">
        <v>2987</v>
      </c>
      <c r="V34" s="17">
        <v>6389</v>
      </c>
      <c r="W34" s="17">
        <v>50760</v>
      </c>
      <c r="X34" s="17">
        <v>98730</v>
      </c>
      <c r="Y34" s="17">
        <v>15879</v>
      </c>
      <c r="Z34" s="17">
        <v>1775</v>
      </c>
      <c r="AA34" s="17">
        <v>112833</v>
      </c>
      <c r="AB34" s="17">
        <v>11734</v>
      </c>
      <c r="AC34" s="17">
        <f>AVERAGE(AC29:AC33)</f>
        <v>94645.2</v>
      </c>
    </row>
    <row r="35" spans="1:29" x14ac:dyDescent="0.3">
      <c r="A35" s="20" t="s">
        <v>157</v>
      </c>
      <c r="B35" s="21">
        <v>2372</v>
      </c>
      <c r="C35" s="21">
        <v>392</v>
      </c>
      <c r="D35" s="21">
        <v>417</v>
      </c>
      <c r="E35" s="21">
        <v>37</v>
      </c>
      <c r="F35" s="21">
        <v>3218</v>
      </c>
      <c r="G35" s="21">
        <v>61</v>
      </c>
      <c r="H35" s="21">
        <v>3279</v>
      </c>
      <c r="I35" s="21">
        <v>3120</v>
      </c>
      <c r="J35" s="22">
        <v>346</v>
      </c>
      <c r="K35" s="22">
        <v>840</v>
      </c>
      <c r="L35" s="22">
        <v>4306</v>
      </c>
      <c r="M35" s="22">
        <v>4367</v>
      </c>
      <c r="N35" s="22">
        <v>1307</v>
      </c>
      <c r="O35" s="22">
        <v>77</v>
      </c>
      <c r="P35" s="22">
        <v>514</v>
      </c>
      <c r="Q35" s="22">
        <v>11</v>
      </c>
      <c r="R35" s="21">
        <v>243</v>
      </c>
      <c r="S35" s="21">
        <v>1491</v>
      </c>
      <c r="T35" s="21">
        <v>2941</v>
      </c>
      <c r="U35" s="21">
        <v>475</v>
      </c>
      <c r="V35" s="21">
        <v>1016</v>
      </c>
      <c r="W35" s="21">
        <v>8075</v>
      </c>
      <c r="X35" s="21">
        <v>15660</v>
      </c>
      <c r="Y35" s="21">
        <v>2518</v>
      </c>
      <c r="Z35" s="21">
        <v>282</v>
      </c>
      <c r="AA35" s="21">
        <v>17897</v>
      </c>
      <c r="AB35" s="21">
        <v>1359</v>
      </c>
      <c r="AC35" s="21">
        <v>131669</v>
      </c>
    </row>
    <row r="36" spans="1:29" x14ac:dyDescent="0.3">
      <c r="A36" s="20" t="s">
        <v>158</v>
      </c>
      <c r="B36" s="21">
        <v>3967</v>
      </c>
      <c r="C36" s="21">
        <v>851</v>
      </c>
      <c r="D36" s="21">
        <v>499</v>
      </c>
      <c r="E36" s="21">
        <v>225</v>
      </c>
      <c r="F36" s="21">
        <v>5543</v>
      </c>
      <c r="G36" s="21">
        <v>1234</v>
      </c>
      <c r="H36" s="21">
        <v>6777</v>
      </c>
      <c r="I36" s="21">
        <v>20307</v>
      </c>
      <c r="J36" s="22">
        <v>2252</v>
      </c>
      <c r="K36" s="22">
        <v>5468</v>
      </c>
      <c r="L36" s="22">
        <v>28027</v>
      </c>
      <c r="M36" s="22">
        <v>29261</v>
      </c>
      <c r="N36" s="22">
        <v>8506</v>
      </c>
      <c r="O36" s="22">
        <v>499</v>
      </c>
      <c r="P36" s="22">
        <v>3348</v>
      </c>
      <c r="Q36" s="22">
        <v>71</v>
      </c>
      <c r="R36" s="21">
        <v>1581</v>
      </c>
      <c r="S36" s="21">
        <v>9706</v>
      </c>
      <c r="T36" s="21">
        <v>19147</v>
      </c>
      <c r="U36" s="21">
        <v>3092</v>
      </c>
      <c r="V36" s="21">
        <v>6616</v>
      </c>
      <c r="W36" s="21">
        <v>52567</v>
      </c>
      <c r="X36" s="21">
        <v>87372</v>
      </c>
      <c r="Y36" s="21">
        <v>14051</v>
      </c>
      <c r="Z36" s="21">
        <v>1571</v>
      </c>
      <c r="AA36" s="21">
        <v>99851</v>
      </c>
      <c r="AB36" s="21">
        <v>4953</v>
      </c>
      <c r="AC36" s="21">
        <v>201600</v>
      </c>
    </row>
    <row r="37" spans="1:29" x14ac:dyDescent="0.3">
      <c r="A37" s="20" t="s">
        <v>159</v>
      </c>
      <c r="B37" s="21">
        <v>1422</v>
      </c>
      <c r="C37" s="21">
        <v>446</v>
      </c>
      <c r="D37" s="21">
        <v>439</v>
      </c>
      <c r="E37" s="21">
        <v>131</v>
      </c>
      <c r="F37" s="21">
        <v>2439</v>
      </c>
      <c r="G37" s="21">
        <v>840</v>
      </c>
      <c r="H37" s="21">
        <v>3279</v>
      </c>
      <c r="I37" s="21">
        <v>2172</v>
      </c>
      <c r="J37" s="22">
        <v>241</v>
      </c>
      <c r="K37" s="22">
        <v>585</v>
      </c>
      <c r="L37" s="22">
        <v>2998</v>
      </c>
      <c r="M37" s="22">
        <v>3838</v>
      </c>
      <c r="N37" s="22">
        <v>910</v>
      </c>
      <c r="O37" s="22">
        <v>53</v>
      </c>
      <c r="P37" s="22">
        <v>358</v>
      </c>
      <c r="Q37" s="22">
        <v>8</v>
      </c>
      <c r="R37" s="21">
        <v>169</v>
      </c>
      <c r="S37" s="21">
        <v>1038</v>
      </c>
      <c r="T37" s="21">
        <v>2048</v>
      </c>
      <c r="U37" s="21">
        <v>331</v>
      </c>
      <c r="V37" s="21">
        <v>708</v>
      </c>
      <c r="W37" s="21">
        <v>5623</v>
      </c>
      <c r="X37" s="21">
        <v>11899</v>
      </c>
      <c r="Y37" s="21">
        <v>1914</v>
      </c>
      <c r="Z37" s="21">
        <v>214</v>
      </c>
      <c r="AA37" s="21">
        <v>13599</v>
      </c>
      <c r="AB37" s="21">
        <v>1246</v>
      </c>
      <c r="AC37" s="21">
        <v>109159</v>
      </c>
    </row>
    <row r="38" spans="1:29" x14ac:dyDescent="0.3">
      <c r="A38" s="20" t="s">
        <v>160</v>
      </c>
      <c r="B38" s="21">
        <v>1089</v>
      </c>
      <c r="C38" s="21">
        <v>307</v>
      </c>
      <c r="D38" s="21">
        <v>446</v>
      </c>
      <c r="E38" s="21">
        <v>108</v>
      </c>
      <c r="F38" s="21">
        <v>1950</v>
      </c>
      <c r="G38" s="21">
        <v>105</v>
      </c>
      <c r="H38" s="21">
        <v>2055</v>
      </c>
      <c r="I38" s="21">
        <v>2706</v>
      </c>
      <c r="J38" s="21">
        <v>300</v>
      </c>
      <c r="K38" s="21">
        <v>729</v>
      </c>
      <c r="L38" s="21">
        <v>3734</v>
      </c>
      <c r="M38" s="21">
        <v>3839</v>
      </c>
      <c r="N38" s="21">
        <v>1133</v>
      </c>
      <c r="O38" s="21">
        <v>66</v>
      </c>
      <c r="P38" s="21">
        <v>446</v>
      </c>
      <c r="Q38" s="21">
        <v>9</v>
      </c>
      <c r="R38" s="21">
        <v>211</v>
      </c>
      <c r="S38" s="21">
        <v>1293</v>
      </c>
      <c r="T38" s="21">
        <v>2551</v>
      </c>
      <c r="U38" s="21">
        <v>412</v>
      </c>
      <c r="V38" s="21">
        <v>882</v>
      </c>
      <c r="W38" s="21">
        <v>7004</v>
      </c>
      <c r="X38" s="21">
        <v>12793</v>
      </c>
      <c r="Y38" s="21">
        <v>2057</v>
      </c>
      <c r="Z38" s="21">
        <v>230</v>
      </c>
      <c r="AA38" s="21">
        <v>14621</v>
      </c>
      <c r="AB38" s="21">
        <v>1371</v>
      </c>
      <c r="AC38" s="21">
        <v>106652</v>
      </c>
    </row>
    <row r="39" spans="1:29" x14ac:dyDescent="0.3">
      <c r="A39" s="20" t="s">
        <v>161</v>
      </c>
      <c r="B39" s="21">
        <v>2186</v>
      </c>
      <c r="C39" s="21">
        <v>346</v>
      </c>
      <c r="D39" s="21">
        <v>822</v>
      </c>
      <c r="E39" s="21">
        <v>102</v>
      </c>
      <c r="F39" s="21">
        <v>3456</v>
      </c>
      <c r="G39" s="21">
        <v>3581</v>
      </c>
      <c r="H39" s="21">
        <v>7037</v>
      </c>
      <c r="I39" s="21">
        <v>4744</v>
      </c>
      <c r="J39" s="21">
        <v>526</v>
      </c>
      <c r="K39" s="21">
        <v>1277</v>
      </c>
      <c r="L39" s="21">
        <v>6548</v>
      </c>
      <c r="M39" s="21">
        <v>10129</v>
      </c>
      <c r="N39" s="21">
        <v>1987</v>
      </c>
      <c r="O39" s="21">
        <v>116</v>
      </c>
      <c r="P39" s="21">
        <v>782</v>
      </c>
      <c r="Q39" s="21">
        <v>17</v>
      </c>
      <c r="R39" s="21">
        <v>369</v>
      </c>
      <c r="S39" s="21">
        <v>2268</v>
      </c>
      <c r="T39" s="21">
        <v>4473</v>
      </c>
      <c r="U39" s="21">
        <v>722</v>
      </c>
      <c r="V39" s="21">
        <v>1546</v>
      </c>
      <c r="W39" s="21">
        <v>12281</v>
      </c>
      <c r="X39" s="21">
        <v>25866</v>
      </c>
      <c r="Y39" s="21">
        <v>4160</v>
      </c>
      <c r="Z39" s="21">
        <v>465</v>
      </c>
      <c r="AA39" s="21">
        <v>29561</v>
      </c>
      <c r="AB39" s="21">
        <v>2307</v>
      </c>
      <c r="AC39" s="21">
        <v>128161</v>
      </c>
    </row>
    <row r="40" spans="1:29" x14ac:dyDescent="0.3">
      <c r="A40" s="20" t="s">
        <v>162</v>
      </c>
      <c r="B40" s="21">
        <v>661</v>
      </c>
      <c r="C40" s="21">
        <v>204</v>
      </c>
      <c r="D40" s="21">
        <v>801</v>
      </c>
      <c r="E40" s="21">
        <v>33</v>
      </c>
      <c r="F40" s="21">
        <v>1698</v>
      </c>
      <c r="G40" s="21">
        <v>130</v>
      </c>
      <c r="H40" s="21">
        <v>1828</v>
      </c>
      <c r="I40" s="21">
        <v>1514</v>
      </c>
      <c r="J40" s="21">
        <v>168</v>
      </c>
      <c r="K40" s="21">
        <v>408</v>
      </c>
      <c r="L40" s="21">
        <v>2090</v>
      </c>
      <c r="M40" s="21">
        <v>2220</v>
      </c>
      <c r="N40" s="21">
        <v>634</v>
      </c>
      <c r="O40" s="21">
        <v>37</v>
      </c>
      <c r="P40" s="21">
        <v>250</v>
      </c>
      <c r="Q40" s="21">
        <v>5</v>
      </c>
      <c r="R40" s="21">
        <v>118</v>
      </c>
      <c r="S40" s="21">
        <v>724</v>
      </c>
      <c r="T40" s="21">
        <v>1428</v>
      </c>
      <c r="U40" s="21">
        <v>231</v>
      </c>
      <c r="V40" s="21">
        <v>493</v>
      </c>
      <c r="W40" s="21">
        <v>3920</v>
      </c>
      <c r="X40" s="21">
        <v>7838</v>
      </c>
      <c r="Y40" s="21">
        <v>1260</v>
      </c>
      <c r="Z40" s="21">
        <v>141</v>
      </c>
      <c r="AA40" s="21">
        <v>8958</v>
      </c>
      <c r="AB40" s="21">
        <v>1109</v>
      </c>
      <c r="AC40" s="21">
        <v>80799</v>
      </c>
    </row>
    <row r="41" spans="1:29" s="2" customFormat="1" x14ac:dyDescent="0.3">
      <c r="A41" s="23" t="s">
        <v>402</v>
      </c>
      <c r="B41" s="24">
        <v>11697</v>
      </c>
      <c r="C41" s="24">
        <v>2546</v>
      </c>
      <c r="D41" s="24">
        <v>3424</v>
      </c>
      <c r="E41" s="24">
        <v>636</v>
      </c>
      <c r="F41" s="24">
        <v>18304</v>
      </c>
      <c r="G41" s="24">
        <v>5951</v>
      </c>
      <c r="H41" s="24">
        <v>24255</v>
      </c>
      <c r="I41" s="24">
        <v>34563</v>
      </c>
      <c r="J41" s="24">
        <v>3833</v>
      </c>
      <c r="K41" s="24">
        <v>9307</v>
      </c>
      <c r="L41" s="24">
        <v>47703</v>
      </c>
      <c r="M41" s="24">
        <v>53654</v>
      </c>
      <c r="N41" s="24">
        <v>14477</v>
      </c>
      <c r="O41" s="24">
        <v>848</v>
      </c>
      <c r="P41" s="24">
        <v>5698</v>
      </c>
      <c r="Q41" s="24">
        <v>121</v>
      </c>
      <c r="R41" s="24">
        <v>2691</v>
      </c>
      <c r="S41" s="24">
        <v>16520</v>
      </c>
      <c r="T41" s="24">
        <v>32588</v>
      </c>
      <c r="U41" s="24">
        <v>5263</v>
      </c>
      <c r="V41" s="24">
        <v>11261</v>
      </c>
      <c r="W41" s="24">
        <v>89470</v>
      </c>
      <c r="X41" s="24">
        <v>161428</v>
      </c>
      <c r="Y41" s="24">
        <v>25960</v>
      </c>
      <c r="Z41" s="24">
        <v>2903</v>
      </c>
      <c r="AA41" s="24">
        <v>184487</v>
      </c>
      <c r="AB41" s="24">
        <v>12345</v>
      </c>
      <c r="AC41" s="24">
        <f>AVERAGE(AC35:AC40)</f>
        <v>126340</v>
      </c>
    </row>
    <row r="42" spans="1:29" s="2" customFormat="1" x14ac:dyDescent="0.3">
      <c r="A42" s="25" t="s">
        <v>406</v>
      </c>
      <c r="B42" s="26">
        <v>114801</v>
      </c>
      <c r="C42" s="26">
        <v>44120</v>
      </c>
      <c r="D42" s="26">
        <v>17199</v>
      </c>
      <c r="E42" s="26">
        <v>4728</v>
      </c>
      <c r="F42" s="26">
        <v>180853</v>
      </c>
      <c r="G42" s="26">
        <v>59614</v>
      </c>
      <c r="H42" s="26">
        <v>240468</v>
      </c>
      <c r="I42" s="26">
        <v>372919</v>
      </c>
      <c r="J42" s="26">
        <v>41357</v>
      </c>
      <c r="K42" s="26">
        <v>100411</v>
      </c>
      <c r="L42" s="26">
        <v>514685</v>
      </c>
      <c r="M42" s="26">
        <v>574301</v>
      </c>
      <c r="N42" s="26">
        <v>156194</v>
      </c>
      <c r="O42" s="26">
        <v>9157</v>
      </c>
      <c r="P42" s="26">
        <v>61490</v>
      </c>
      <c r="Q42" s="26">
        <v>1307</v>
      </c>
      <c r="R42" s="26">
        <v>29042</v>
      </c>
      <c r="S42" s="26">
        <v>178241</v>
      </c>
      <c r="T42" s="26">
        <v>351610</v>
      </c>
      <c r="U42" s="26">
        <v>56789</v>
      </c>
      <c r="V42" s="26">
        <v>121502</v>
      </c>
      <c r="W42" s="26">
        <v>965330</v>
      </c>
      <c r="X42" s="26">
        <v>1720486</v>
      </c>
      <c r="Y42" s="26">
        <v>276684</v>
      </c>
      <c r="Z42" s="26">
        <v>30941</v>
      </c>
      <c r="AA42" s="26">
        <v>1966226</v>
      </c>
      <c r="AB42" s="26">
        <v>118199</v>
      </c>
      <c r="AC42" s="26">
        <f>AVERAGE(AC41,AC34,AC28,AC13,AC7,AC19)</f>
        <v>134913.87916666668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42"/>
  <sheetViews>
    <sheetView tabSelected="1" zoomScale="122" zoomScaleNormal="122" workbookViewId="0">
      <selection activeCell="J12" sqref="J12"/>
    </sheetView>
  </sheetViews>
  <sheetFormatPr defaultRowHeight="14.4" x14ac:dyDescent="0.3"/>
  <cols>
    <col min="1" max="1" width="22.33203125" bestFit="1" customWidth="1"/>
    <col min="2" max="2" width="7.21875" bestFit="1" customWidth="1"/>
    <col min="3" max="3" width="7.88671875" customWidth="1"/>
    <col min="4" max="4" width="13.88671875" bestFit="1" customWidth="1"/>
    <col min="5" max="5" width="15.33203125" bestFit="1" customWidth="1"/>
    <col min="6" max="6" width="19.33203125" bestFit="1" customWidth="1"/>
    <col min="7" max="7" width="13.109375" bestFit="1" customWidth="1"/>
    <col min="8" max="8" width="9.44140625" bestFit="1" customWidth="1"/>
    <col min="9" max="9" width="9.77734375" bestFit="1" customWidth="1"/>
    <col min="10" max="10" width="33.6640625" bestFit="1" customWidth="1"/>
    <col min="11" max="11" width="8.6640625" bestFit="1" customWidth="1"/>
    <col min="12" max="12" width="11.33203125" bestFit="1" customWidth="1"/>
    <col min="13" max="13" width="7" bestFit="1" customWidth="1"/>
    <col min="14" max="14" width="22.88671875" bestFit="1" customWidth="1"/>
    <col min="15" max="15" width="6.21875" bestFit="1" customWidth="1"/>
    <col min="16" max="16" width="25.6640625" bestFit="1" customWidth="1"/>
    <col min="17" max="17" width="5.44140625" bestFit="1" customWidth="1"/>
    <col min="18" max="18" width="23.5546875" bestFit="1" customWidth="1"/>
    <col min="19" max="19" width="11.5546875" bestFit="1" customWidth="1"/>
    <col min="20" max="20" width="29.21875" bestFit="1" customWidth="1"/>
    <col min="21" max="21" width="20.6640625" bestFit="1" customWidth="1"/>
    <col min="22" max="22" width="9.5546875" bestFit="1" customWidth="1"/>
    <col min="23" max="23" width="15.5546875" bestFit="1" customWidth="1"/>
    <col min="24" max="24" width="8" bestFit="1" customWidth="1"/>
    <col min="25" max="25" width="11.88671875" bestFit="1" customWidth="1"/>
    <col min="26" max="26" width="17.44140625" bestFit="1" customWidth="1"/>
    <col min="27" max="27" width="8" bestFit="1" customWidth="1"/>
    <col min="28" max="28" width="10.77734375" bestFit="1" customWidth="1"/>
    <col min="29" max="29" width="23.5546875" bestFit="1" customWidth="1"/>
  </cols>
  <sheetData>
    <row r="1" spans="1:29" x14ac:dyDescent="0.3">
      <c r="A1" s="37" t="s">
        <v>0</v>
      </c>
      <c r="B1" s="37" t="s">
        <v>1</v>
      </c>
      <c r="C1" s="37" t="s">
        <v>2</v>
      </c>
      <c r="D1" s="37" t="s">
        <v>382</v>
      </c>
      <c r="E1" s="37" t="s">
        <v>383</v>
      </c>
      <c r="F1" s="37" t="s">
        <v>384</v>
      </c>
      <c r="G1" s="37" t="s">
        <v>385</v>
      </c>
      <c r="H1" s="37" t="s">
        <v>386</v>
      </c>
      <c r="I1" s="37" t="s">
        <v>3</v>
      </c>
      <c r="J1" s="37" t="s">
        <v>387</v>
      </c>
      <c r="K1" s="37" t="s">
        <v>4</v>
      </c>
      <c r="L1" s="37" t="s">
        <v>388</v>
      </c>
      <c r="M1" s="37" t="s">
        <v>389</v>
      </c>
      <c r="N1" s="37" t="s">
        <v>410</v>
      </c>
      <c r="O1" s="38" t="s">
        <v>37</v>
      </c>
      <c r="P1" s="39" t="s">
        <v>411</v>
      </c>
      <c r="Q1" s="37" t="s">
        <v>38</v>
      </c>
      <c r="R1" s="37" t="s">
        <v>390</v>
      </c>
      <c r="S1" s="37" t="s">
        <v>391</v>
      </c>
      <c r="T1" s="37" t="s">
        <v>392</v>
      </c>
      <c r="U1" s="38" t="s">
        <v>393</v>
      </c>
      <c r="V1" s="37" t="s">
        <v>394</v>
      </c>
      <c r="W1" s="37" t="s">
        <v>395</v>
      </c>
      <c r="X1" s="37" t="s">
        <v>396</v>
      </c>
      <c r="Y1" s="39" t="s">
        <v>397</v>
      </c>
      <c r="Z1" s="37" t="s">
        <v>398</v>
      </c>
      <c r="AA1" s="37" t="s">
        <v>399</v>
      </c>
      <c r="AB1" s="37" t="s">
        <v>400</v>
      </c>
      <c r="AC1" s="37" t="s">
        <v>401</v>
      </c>
    </row>
    <row r="2" spans="1:29" x14ac:dyDescent="0.3">
      <c r="A2" s="4" t="s">
        <v>409</v>
      </c>
      <c r="B2" s="5">
        <v>1</v>
      </c>
      <c r="C2" s="5">
        <v>589</v>
      </c>
      <c r="D2" s="5">
        <v>53</v>
      </c>
      <c r="E2" s="5">
        <v>1777</v>
      </c>
      <c r="F2" s="5">
        <v>2420</v>
      </c>
      <c r="G2" s="5">
        <v>36160</v>
      </c>
      <c r="H2" s="5">
        <v>38580</v>
      </c>
      <c r="I2" s="5">
        <v>77981</v>
      </c>
      <c r="J2" s="5">
        <v>8197</v>
      </c>
      <c r="K2" s="5">
        <v>22539</v>
      </c>
      <c r="L2" s="5">
        <v>108717</v>
      </c>
      <c r="M2" s="5">
        <v>144877</v>
      </c>
      <c r="N2" s="5">
        <v>37903</v>
      </c>
      <c r="O2" s="5">
        <v>2381</v>
      </c>
      <c r="P2" s="5">
        <v>13530</v>
      </c>
      <c r="Q2" s="5">
        <v>282</v>
      </c>
      <c r="R2" s="5">
        <v>5983</v>
      </c>
      <c r="S2" s="5">
        <v>38835</v>
      </c>
      <c r="T2" s="5">
        <v>83560</v>
      </c>
      <c r="U2" s="5">
        <v>13150</v>
      </c>
      <c r="V2" s="5">
        <v>29135</v>
      </c>
      <c r="W2" s="5">
        <v>224759</v>
      </c>
      <c r="X2" s="5">
        <v>372056</v>
      </c>
      <c r="Y2" s="5">
        <v>61930</v>
      </c>
      <c r="Z2" s="5">
        <v>5454</v>
      </c>
      <c r="AA2" s="5">
        <v>428532</v>
      </c>
      <c r="AB2" s="5">
        <v>13673</v>
      </c>
      <c r="AC2" s="5">
        <v>313412</v>
      </c>
    </row>
    <row r="3" spans="1:29" x14ac:dyDescent="0.3">
      <c r="A3" s="4" t="s">
        <v>381</v>
      </c>
      <c r="B3" s="5">
        <v>4364</v>
      </c>
      <c r="C3" s="5">
        <v>1292</v>
      </c>
      <c r="D3" s="5">
        <v>1915</v>
      </c>
      <c r="E3" s="5">
        <v>1066</v>
      </c>
      <c r="F3" s="5">
        <v>8638</v>
      </c>
      <c r="G3" s="5">
        <v>584</v>
      </c>
      <c r="H3" s="5">
        <v>9222</v>
      </c>
      <c r="I3" s="5">
        <v>62262</v>
      </c>
      <c r="J3" s="5">
        <v>6545</v>
      </c>
      <c r="K3" s="5">
        <v>17995</v>
      </c>
      <c r="L3" s="5">
        <v>86802</v>
      </c>
      <c r="M3" s="5">
        <v>87386</v>
      </c>
      <c r="N3" s="5">
        <v>30262</v>
      </c>
      <c r="O3" s="5">
        <v>1901</v>
      </c>
      <c r="P3" s="5">
        <v>10803</v>
      </c>
      <c r="Q3" s="5">
        <v>225</v>
      </c>
      <c r="R3" s="5">
        <v>4777</v>
      </c>
      <c r="S3" s="5">
        <v>31007</v>
      </c>
      <c r="T3" s="5">
        <v>66716</v>
      </c>
      <c r="U3" s="5">
        <v>10499</v>
      </c>
      <c r="V3" s="5">
        <v>23262</v>
      </c>
      <c r="W3" s="5">
        <v>179452</v>
      </c>
      <c r="X3" s="5">
        <v>275476</v>
      </c>
      <c r="Y3" s="5">
        <v>45854</v>
      </c>
      <c r="Z3" s="5">
        <v>4038</v>
      </c>
      <c r="AA3" s="5">
        <v>317292</v>
      </c>
      <c r="AB3" s="5">
        <v>11985</v>
      </c>
      <c r="AC3" s="5">
        <v>264746</v>
      </c>
    </row>
    <row r="4" spans="1:29" x14ac:dyDescent="0.3">
      <c r="A4" s="4" t="s">
        <v>163</v>
      </c>
      <c r="B4" s="5">
        <v>2320</v>
      </c>
      <c r="C4" s="5">
        <v>427</v>
      </c>
      <c r="D4" s="5">
        <v>1598</v>
      </c>
      <c r="E4" s="5">
        <v>319</v>
      </c>
      <c r="F4" s="5">
        <v>4665</v>
      </c>
      <c r="G4" s="5">
        <v>8280</v>
      </c>
      <c r="H4" s="5">
        <v>12945</v>
      </c>
      <c r="I4" s="5">
        <v>8713</v>
      </c>
      <c r="J4" s="5">
        <v>916</v>
      </c>
      <c r="K4" s="5">
        <v>2518</v>
      </c>
      <c r="L4" s="5">
        <v>12147</v>
      </c>
      <c r="M4" s="5">
        <v>20426</v>
      </c>
      <c r="N4" s="5">
        <v>4235</v>
      </c>
      <c r="O4" s="5">
        <v>266</v>
      </c>
      <c r="P4" s="5">
        <v>1512</v>
      </c>
      <c r="Q4" s="5">
        <v>32</v>
      </c>
      <c r="R4" s="5">
        <v>668</v>
      </c>
      <c r="S4" s="5">
        <v>4339</v>
      </c>
      <c r="T4" s="5">
        <v>9336</v>
      </c>
      <c r="U4" s="5">
        <v>1469</v>
      </c>
      <c r="V4" s="5">
        <v>3255</v>
      </c>
      <c r="W4" s="5">
        <v>25111</v>
      </c>
      <c r="X4" s="5">
        <v>50203</v>
      </c>
      <c r="Y4" s="5">
        <v>8356</v>
      </c>
      <c r="Z4" s="5">
        <v>736</v>
      </c>
      <c r="AA4" s="5">
        <v>57823</v>
      </c>
      <c r="AB4" s="5">
        <v>2784</v>
      </c>
      <c r="AC4" s="5">
        <v>207697</v>
      </c>
    </row>
    <row r="5" spans="1:29" x14ac:dyDescent="0.3">
      <c r="A5" s="4" t="s">
        <v>164</v>
      </c>
      <c r="B5" s="5">
        <v>5927</v>
      </c>
      <c r="C5" s="5">
        <v>283</v>
      </c>
      <c r="D5" s="5">
        <v>579</v>
      </c>
      <c r="E5" s="5">
        <v>844</v>
      </c>
      <c r="F5" s="5">
        <v>7633</v>
      </c>
      <c r="G5" s="5">
        <v>217</v>
      </c>
      <c r="H5" s="5">
        <v>7850</v>
      </c>
      <c r="I5" s="5">
        <v>4105</v>
      </c>
      <c r="J5" s="5">
        <v>432</v>
      </c>
      <c r="K5" s="5">
        <v>1187</v>
      </c>
      <c r="L5" s="5">
        <v>5723</v>
      </c>
      <c r="M5" s="5">
        <v>5940</v>
      </c>
      <c r="N5" s="5">
        <v>1995</v>
      </c>
      <c r="O5" s="5">
        <v>125</v>
      </c>
      <c r="P5" s="5">
        <v>712</v>
      </c>
      <c r="Q5" s="5">
        <v>15</v>
      </c>
      <c r="R5" s="5">
        <v>315</v>
      </c>
      <c r="S5" s="5">
        <v>2044</v>
      </c>
      <c r="T5" s="5">
        <v>4399</v>
      </c>
      <c r="U5" s="5">
        <v>692</v>
      </c>
      <c r="V5" s="5">
        <v>1534</v>
      </c>
      <c r="W5" s="5">
        <v>11832</v>
      </c>
      <c r="X5" s="5">
        <v>25405</v>
      </c>
      <c r="Y5" s="5">
        <v>4229</v>
      </c>
      <c r="Z5" s="5">
        <v>372</v>
      </c>
      <c r="AA5" s="5">
        <v>29261</v>
      </c>
      <c r="AB5" s="5">
        <v>1685</v>
      </c>
      <c r="AC5" s="5">
        <v>173669</v>
      </c>
    </row>
    <row r="6" spans="1:29" x14ac:dyDescent="0.3">
      <c r="A6" s="4" t="s">
        <v>165</v>
      </c>
      <c r="B6" s="5">
        <v>3342</v>
      </c>
      <c r="C6" s="5">
        <v>207</v>
      </c>
      <c r="D6" s="5">
        <v>1736</v>
      </c>
      <c r="E6" s="5">
        <v>184</v>
      </c>
      <c r="F6" s="5">
        <v>5469</v>
      </c>
      <c r="G6" s="5">
        <v>768</v>
      </c>
      <c r="H6" s="5">
        <v>6237</v>
      </c>
      <c r="I6" s="5">
        <v>1794</v>
      </c>
      <c r="J6" s="5">
        <v>189</v>
      </c>
      <c r="K6" s="5">
        <v>518</v>
      </c>
      <c r="L6" s="5">
        <v>2501</v>
      </c>
      <c r="M6" s="5">
        <v>3269</v>
      </c>
      <c r="N6" s="5">
        <v>872</v>
      </c>
      <c r="O6" s="5">
        <v>55</v>
      </c>
      <c r="P6" s="5">
        <v>311</v>
      </c>
      <c r="Q6" s="5">
        <v>6</v>
      </c>
      <c r="R6" s="5">
        <v>138</v>
      </c>
      <c r="S6" s="5">
        <v>893</v>
      </c>
      <c r="T6" s="5">
        <v>1922</v>
      </c>
      <c r="U6" s="5">
        <v>302</v>
      </c>
      <c r="V6" s="5">
        <v>670</v>
      </c>
      <c r="W6" s="5">
        <v>5170</v>
      </c>
      <c r="X6" s="5">
        <v>13907</v>
      </c>
      <c r="Y6" s="5">
        <v>2315</v>
      </c>
      <c r="Z6" s="5">
        <v>204</v>
      </c>
      <c r="AA6" s="5">
        <v>16018</v>
      </c>
      <c r="AB6" s="5">
        <v>884</v>
      </c>
      <c r="AC6" s="5">
        <v>181149</v>
      </c>
    </row>
    <row r="7" spans="1:29" s="2" customFormat="1" x14ac:dyDescent="0.3">
      <c r="A7" s="18" t="s">
        <v>405</v>
      </c>
      <c r="B7" s="19">
        <v>15954</v>
      </c>
      <c r="C7" s="19">
        <v>2798</v>
      </c>
      <c r="D7" s="19">
        <v>5881</v>
      </c>
      <c r="E7" s="19">
        <v>4190</v>
      </c>
      <c r="F7" s="19">
        <v>28825</v>
      </c>
      <c r="G7" s="19">
        <v>46009</v>
      </c>
      <c r="H7" s="19">
        <v>74834</v>
      </c>
      <c r="I7" s="19">
        <v>154855</v>
      </c>
      <c r="J7" s="19">
        <v>16279</v>
      </c>
      <c r="K7" s="19">
        <v>44757</v>
      </c>
      <c r="L7" s="19">
        <v>215890</v>
      </c>
      <c r="M7" s="19">
        <v>261898</v>
      </c>
      <c r="N7" s="19">
        <v>75267</v>
      </c>
      <c r="O7" s="19">
        <v>4728</v>
      </c>
      <c r="P7" s="19">
        <v>26868</v>
      </c>
      <c r="Q7" s="19">
        <v>560</v>
      </c>
      <c r="R7" s="19">
        <v>11881</v>
      </c>
      <c r="S7" s="19">
        <v>77118</v>
      </c>
      <c r="T7" s="19">
        <v>165933</v>
      </c>
      <c r="U7" s="19">
        <v>26112</v>
      </c>
      <c r="V7" s="19">
        <v>57856</v>
      </c>
      <c r="W7" s="19">
        <v>446324</v>
      </c>
      <c r="X7" s="19">
        <v>737047</v>
      </c>
      <c r="Y7" s="19">
        <v>122684</v>
      </c>
      <c r="Z7" s="19">
        <v>10804</v>
      </c>
      <c r="AA7" s="19">
        <v>848926</v>
      </c>
      <c r="AB7" s="19">
        <v>31011</v>
      </c>
      <c r="AC7" s="19">
        <f>AVERAGE(AC2:AC6)</f>
        <v>228134.6</v>
      </c>
    </row>
    <row r="8" spans="1:29" x14ac:dyDescent="0.3">
      <c r="A8" s="27" t="s">
        <v>166</v>
      </c>
      <c r="B8" s="28">
        <v>9642</v>
      </c>
      <c r="C8" s="28">
        <v>2259</v>
      </c>
      <c r="D8" s="28">
        <v>589</v>
      </c>
      <c r="E8" s="28">
        <v>43</v>
      </c>
      <c r="F8" s="28">
        <v>12534</v>
      </c>
      <c r="G8" s="28">
        <v>169</v>
      </c>
      <c r="H8" s="28">
        <v>12703</v>
      </c>
      <c r="I8" s="28">
        <v>17995</v>
      </c>
      <c r="J8" s="28">
        <v>1892</v>
      </c>
      <c r="K8" s="28">
        <v>5201</v>
      </c>
      <c r="L8" s="28">
        <v>25087</v>
      </c>
      <c r="M8" s="28">
        <v>25256</v>
      </c>
      <c r="N8" s="28">
        <v>8746</v>
      </c>
      <c r="O8" s="28">
        <v>549</v>
      </c>
      <c r="P8" s="28">
        <v>3122</v>
      </c>
      <c r="Q8" s="28">
        <v>65</v>
      </c>
      <c r="R8" s="28">
        <v>1381</v>
      </c>
      <c r="S8" s="28">
        <v>8962</v>
      </c>
      <c r="T8" s="28">
        <v>19282</v>
      </c>
      <c r="U8" s="28">
        <v>3034</v>
      </c>
      <c r="V8" s="28">
        <v>6723</v>
      </c>
      <c r="W8" s="28">
        <v>51865</v>
      </c>
      <c r="X8" s="28">
        <v>89656</v>
      </c>
      <c r="Y8" s="28">
        <v>14924</v>
      </c>
      <c r="Z8" s="28">
        <v>1314</v>
      </c>
      <c r="AA8" s="28">
        <v>103265</v>
      </c>
      <c r="AB8" s="28">
        <v>6478</v>
      </c>
      <c r="AC8" s="28">
        <v>159416</v>
      </c>
    </row>
    <row r="9" spans="1:29" x14ac:dyDescent="0.3">
      <c r="A9" s="27" t="s">
        <v>167</v>
      </c>
      <c r="B9" s="28">
        <v>4167</v>
      </c>
      <c r="C9" s="28">
        <v>866</v>
      </c>
      <c r="D9" s="28">
        <v>248</v>
      </c>
      <c r="E9" s="28">
        <v>22</v>
      </c>
      <c r="F9" s="28">
        <v>5302</v>
      </c>
      <c r="G9" s="28">
        <v>780</v>
      </c>
      <c r="H9" s="28">
        <v>6082</v>
      </c>
      <c r="I9" s="28">
        <v>4232</v>
      </c>
      <c r="J9" s="28">
        <v>445</v>
      </c>
      <c r="K9" s="28">
        <v>1223</v>
      </c>
      <c r="L9" s="28">
        <v>5899</v>
      </c>
      <c r="M9" s="28">
        <v>6679</v>
      </c>
      <c r="N9" s="28">
        <v>2057</v>
      </c>
      <c r="O9" s="28">
        <v>129</v>
      </c>
      <c r="P9" s="28">
        <v>734</v>
      </c>
      <c r="Q9" s="28">
        <v>15</v>
      </c>
      <c r="R9" s="28">
        <v>325</v>
      </c>
      <c r="S9" s="28">
        <v>2107</v>
      </c>
      <c r="T9" s="28">
        <v>4534</v>
      </c>
      <c r="U9" s="28">
        <v>714</v>
      </c>
      <c r="V9" s="28">
        <v>1581</v>
      </c>
      <c r="W9" s="28">
        <v>12196</v>
      </c>
      <c r="X9" s="28">
        <v>24178</v>
      </c>
      <c r="Y9" s="28">
        <v>4025</v>
      </c>
      <c r="Z9" s="28">
        <v>354</v>
      </c>
      <c r="AA9" s="28">
        <v>27848</v>
      </c>
      <c r="AB9" s="28">
        <v>2155</v>
      </c>
      <c r="AC9" s="28">
        <v>129211</v>
      </c>
    </row>
    <row r="10" spans="1:29" x14ac:dyDescent="0.3">
      <c r="A10" s="27" t="s">
        <v>168</v>
      </c>
      <c r="B10" s="28">
        <v>1848</v>
      </c>
      <c r="C10" s="28">
        <v>1011</v>
      </c>
      <c r="D10" s="28">
        <v>187</v>
      </c>
      <c r="E10" s="28">
        <v>14</v>
      </c>
      <c r="F10" s="28">
        <v>3059</v>
      </c>
      <c r="G10" s="28">
        <v>73</v>
      </c>
      <c r="H10" s="28">
        <v>3132</v>
      </c>
      <c r="I10" s="28">
        <v>2216</v>
      </c>
      <c r="J10" s="28">
        <v>233</v>
      </c>
      <c r="K10" s="28">
        <v>641</v>
      </c>
      <c r="L10" s="28">
        <v>3090</v>
      </c>
      <c r="M10" s="28">
        <v>3163</v>
      </c>
      <c r="N10" s="28">
        <v>1077</v>
      </c>
      <c r="O10" s="28">
        <v>68</v>
      </c>
      <c r="P10" s="28">
        <v>385</v>
      </c>
      <c r="Q10" s="28">
        <v>8</v>
      </c>
      <c r="R10" s="28">
        <v>170</v>
      </c>
      <c r="S10" s="28">
        <v>1104</v>
      </c>
      <c r="T10" s="28">
        <v>2375</v>
      </c>
      <c r="U10" s="28">
        <v>374</v>
      </c>
      <c r="V10" s="28">
        <v>828</v>
      </c>
      <c r="W10" s="28">
        <v>6388</v>
      </c>
      <c r="X10" s="28">
        <v>12610</v>
      </c>
      <c r="Y10" s="28">
        <v>2099</v>
      </c>
      <c r="Z10" s="28">
        <v>185</v>
      </c>
      <c r="AA10" s="28">
        <v>14524</v>
      </c>
      <c r="AB10" s="28">
        <v>1720</v>
      </c>
      <c r="AC10" s="28">
        <v>84442</v>
      </c>
    </row>
    <row r="11" spans="1:29" x14ac:dyDescent="0.3">
      <c r="A11" s="27" t="s">
        <v>169</v>
      </c>
      <c r="B11" s="28">
        <v>8856</v>
      </c>
      <c r="C11" s="28">
        <v>1294</v>
      </c>
      <c r="D11" s="28">
        <v>463</v>
      </c>
      <c r="E11" s="28">
        <v>71</v>
      </c>
      <c r="F11" s="28">
        <v>10685</v>
      </c>
      <c r="G11" s="28">
        <v>141</v>
      </c>
      <c r="H11" s="28">
        <v>10827</v>
      </c>
      <c r="I11" s="28">
        <v>8748</v>
      </c>
      <c r="J11" s="28">
        <v>920</v>
      </c>
      <c r="K11" s="28">
        <v>2529</v>
      </c>
      <c r="L11" s="28">
        <v>12197</v>
      </c>
      <c r="M11" s="28">
        <v>12338</v>
      </c>
      <c r="N11" s="28">
        <v>4252</v>
      </c>
      <c r="O11" s="28">
        <v>267</v>
      </c>
      <c r="P11" s="28">
        <v>1518</v>
      </c>
      <c r="Q11" s="28">
        <v>32</v>
      </c>
      <c r="R11" s="28">
        <v>671</v>
      </c>
      <c r="S11" s="28">
        <v>4357</v>
      </c>
      <c r="T11" s="28">
        <v>9374</v>
      </c>
      <c r="U11" s="28">
        <v>1475</v>
      </c>
      <c r="V11" s="28">
        <v>3269</v>
      </c>
      <c r="W11" s="28">
        <v>25215</v>
      </c>
      <c r="X11" s="28">
        <v>48238</v>
      </c>
      <c r="Y11" s="28">
        <v>8029</v>
      </c>
      <c r="Z11" s="28">
        <v>707</v>
      </c>
      <c r="AA11" s="28">
        <v>55560</v>
      </c>
      <c r="AB11" s="28">
        <v>4456</v>
      </c>
      <c r="AC11" s="28">
        <v>124682</v>
      </c>
    </row>
    <row r="12" spans="1:29" x14ac:dyDescent="0.3">
      <c r="A12" s="27" t="s">
        <v>380</v>
      </c>
      <c r="B12" s="28">
        <v>8176</v>
      </c>
      <c r="C12" s="28">
        <v>6813</v>
      </c>
      <c r="D12" s="28">
        <v>749</v>
      </c>
      <c r="E12" s="28">
        <v>15</v>
      </c>
      <c r="F12" s="28">
        <v>15753</v>
      </c>
      <c r="G12" s="28">
        <v>125</v>
      </c>
      <c r="H12" s="28">
        <v>15878</v>
      </c>
      <c r="I12" s="28">
        <v>10454</v>
      </c>
      <c r="J12" s="28">
        <v>1099</v>
      </c>
      <c r="K12" s="28">
        <v>3021</v>
      </c>
      <c r="L12" s="28">
        <v>14575</v>
      </c>
      <c r="M12" s="28">
        <v>14700</v>
      </c>
      <c r="N12" s="28">
        <v>5081</v>
      </c>
      <c r="O12" s="28">
        <v>319</v>
      </c>
      <c r="P12" s="28">
        <v>1814</v>
      </c>
      <c r="Q12" s="28">
        <v>38</v>
      </c>
      <c r="R12" s="28">
        <v>802</v>
      </c>
      <c r="S12" s="28">
        <v>5206</v>
      </c>
      <c r="T12" s="28">
        <v>11202</v>
      </c>
      <c r="U12" s="28">
        <v>1763</v>
      </c>
      <c r="V12" s="28">
        <v>3906</v>
      </c>
      <c r="W12" s="28">
        <v>30131</v>
      </c>
      <c r="X12" s="28">
        <v>60584</v>
      </c>
      <c r="Y12" s="28">
        <v>10084</v>
      </c>
      <c r="Z12" s="28">
        <v>888</v>
      </c>
      <c r="AA12" s="28">
        <v>69780</v>
      </c>
      <c r="AB12" s="28">
        <v>4751</v>
      </c>
      <c r="AC12" s="28">
        <v>146877</v>
      </c>
    </row>
    <row r="13" spans="1:29" s="2" customFormat="1" x14ac:dyDescent="0.3">
      <c r="A13" s="7" t="s">
        <v>408</v>
      </c>
      <c r="B13" s="8">
        <v>32689</v>
      </c>
      <c r="C13" s="8">
        <v>12243</v>
      </c>
      <c r="D13" s="8">
        <v>2236</v>
      </c>
      <c r="E13" s="8">
        <v>165</v>
      </c>
      <c r="F13" s="8">
        <v>47333</v>
      </c>
      <c r="G13" s="8">
        <v>1288</v>
      </c>
      <c r="H13" s="8">
        <v>48622</v>
      </c>
      <c r="I13" s="8">
        <v>43645</v>
      </c>
      <c r="J13" s="8">
        <v>4589</v>
      </c>
      <c r="K13" s="8">
        <v>12615</v>
      </c>
      <c r="L13" s="8">
        <v>60848</v>
      </c>
      <c r="M13" s="8">
        <v>62136</v>
      </c>
      <c r="N13" s="8">
        <v>21213</v>
      </c>
      <c r="O13" s="8">
        <v>1332</v>
      </c>
      <c r="P13" s="8">
        <v>7573</v>
      </c>
      <c r="Q13" s="8">
        <v>158</v>
      </c>
      <c r="R13" s="8">
        <v>3349</v>
      </c>
      <c r="S13" s="8">
        <v>21736</v>
      </c>
      <c r="T13" s="8">
        <v>46767</v>
      </c>
      <c r="U13" s="8">
        <v>7360</v>
      </c>
      <c r="V13" s="8">
        <v>16307</v>
      </c>
      <c r="W13" s="8">
        <v>125795</v>
      </c>
      <c r="X13" s="8">
        <v>235266</v>
      </c>
      <c r="Y13" s="8">
        <v>39161</v>
      </c>
      <c r="Z13" s="8">
        <v>3448</v>
      </c>
      <c r="AA13" s="8">
        <v>270977</v>
      </c>
      <c r="AB13" s="8">
        <v>19560</v>
      </c>
      <c r="AC13" s="8">
        <f>AVERAGE(AC8:AC12)</f>
        <v>128925.6</v>
      </c>
    </row>
    <row r="14" spans="1:29" x14ac:dyDescent="0.3">
      <c r="A14" s="9" t="s">
        <v>170</v>
      </c>
      <c r="B14" s="10">
        <v>9903</v>
      </c>
      <c r="C14" s="10">
        <v>6215</v>
      </c>
      <c r="D14" s="10">
        <v>1300</v>
      </c>
      <c r="E14" s="10">
        <v>45</v>
      </c>
      <c r="F14" s="10">
        <v>17464</v>
      </c>
      <c r="G14" s="10">
        <v>379</v>
      </c>
      <c r="H14" s="10">
        <v>17843</v>
      </c>
      <c r="I14" s="10">
        <v>46980</v>
      </c>
      <c r="J14" s="10">
        <v>4938</v>
      </c>
      <c r="K14" s="10">
        <v>13578</v>
      </c>
      <c r="L14" s="10">
        <v>65497</v>
      </c>
      <c r="M14" s="10">
        <v>65876</v>
      </c>
      <c r="N14" s="10">
        <v>22835</v>
      </c>
      <c r="O14" s="10">
        <v>1434</v>
      </c>
      <c r="P14" s="10">
        <v>8151</v>
      </c>
      <c r="Q14" s="10">
        <v>170</v>
      </c>
      <c r="R14" s="10">
        <v>3605</v>
      </c>
      <c r="S14" s="10">
        <v>23396</v>
      </c>
      <c r="T14" s="10">
        <v>50341</v>
      </c>
      <c r="U14" s="10">
        <v>7922</v>
      </c>
      <c r="V14" s="10">
        <v>17552</v>
      </c>
      <c r="W14" s="10">
        <v>135407</v>
      </c>
      <c r="X14" s="10">
        <v>218746</v>
      </c>
      <c r="Y14" s="10">
        <v>36411</v>
      </c>
      <c r="Z14" s="10">
        <v>3206</v>
      </c>
      <c r="AA14" s="10">
        <v>251951</v>
      </c>
      <c r="AB14" s="10">
        <v>10117</v>
      </c>
      <c r="AC14" s="10">
        <v>249030</v>
      </c>
    </row>
    <row r="15" spans="1:29" x14ac:dyDescent="0.3">
      <c r="A15" s="9" t="s">
        <v>171</v>
      </c>
      <c r="B15" s="10">
        <v>4520</v>
      </c>
      <c r="C15" s="10">
        <v>3139</v>
      </c>
      <c r="D15" s="10">
        <v>750</v>
      </c>
      <c r="E15" s="10">
        <v>29</v>
      </c>
      <c r="F15" s="10">
        <v>8439</v>
      </c>
      <c r="G15" s="10">
        <v>129</v>
      </c>
      <c r="H15" s="10">
        <v>8568</v>
      </c>
      <c r="I15" s="10">
        <v>7694</v>
      </c>
      <c r="J15" s="10">
        <v>809</v>
      </c>
      <c r="K15" s="10">
        <v>2224</v>
      </c>
      <c r="L15" s="10">
        <v>10726</v>
      </c>
      <c r="M15" s="10">
        <v>10855</v>
      </c>
      <c r="N15" s="10">
        <v>3740</v>
      </c>
      <c r="O15" s="10">
        <v>235</v>
      </c>
      <c r="P15" s="10">
        <v>1335</v>
      </c>
      <c r="Q15" s="10">
        <v>28</v>
      </c>
      <c r="R15" s="10">
        <v>590</v>
      </c>
      <c r="S15" s="10">
        <v>3832</v>
      </c>
      <c r="T15" s="10">
        <v>8244</v>
      </c>
      <c r="U15" s="10">
        <v>1297</v>
      </c>
      <c r="V15" s="10">
        <v>2875</v>
      </c>
      <c r="W15" s="10">
        <v>22175</v>
      </c>
      <c r="X15" s="10">
        <v>41469</v>
      </c>
      <c r="Y15" s="10">
        <v>6903</v>
      </c>
      <c r="Z15" s="10">
        <v>608</v>
      </c>
      <c r="AA15" s="10">
        <v>47764</v>
      </c>
      <c r="AB15" s="10">
        <v>3139</v>
      </c>
      <c r="AC15" s="10">
        <v>152167</v>
      </c>
    </row>
    <row r="16" spans="1:29" x14ac:dyDescent="0.3">
      <c r="A16" s="9" t="s">
        <v>172</v>
      </c>
      <c r="B16" s="10">
        <v>6566</v>
      </c>
      <c r="C16" s="10">
        <v>3313</v>
      </c>
      <c r="D16" s="10">
        <v>1334</v>
      </c>
      <c r="E16" s="10">
        <v>26</v>
      </c>
      <c r="F16" s="10">
        <v>11239</v>
      </c>
      <c r="G16" s="10">
        <v>220</v>
      </c>
      <c r="H16" s="10">
        <v>11459</v>
      </c>
      <c r="I16" s="10">
        <v>7269</v>
      </c>
      <c r="J16" s="10">
        <v>764</v>
      </c>
      <c r="K16" s="10">
        <v>2101</v>
      </c>
      <c r="L16" s="10">
        <v>10134</v>
      </c>
      <c r="M16" s="10">
        <v>10355</v>
      </c>
      <c r="N16" s="10">
        <v>3533</v>
      </c>
      <c r="O16" s="10">
        <v>222</v>
      </c>
      <c r="P16" s="10">
        <v>1261</v>
      </c>
      <c r="Q16" s="10">
        <v>26</v>
      </c>
      <c r="R16" s="10">
        <v>558</v>
      </c>
      <c r="S16" s="10">
        <v>3620</v>
      </c>
      <c r="T16" s="10">
        <v>7789</v>
      </c>
      <c r="U16" s="10">
        <v>1226</v>
      </c>
      <c r="V16" s="10">
        <v>2716</v>
      </c>
      <c r="W16" s="10">
        <v>20951</v>
      </c>
      <c r="X16" s="10">
        <v>42545</v>
      </c>
      <c r="Y16" s="10">
        <v>7082</v>
      </c>
      <c r="Z16" s="10">
        <v>624</v>
      </c>
      <c r="AA16" s="10">
        <v>49003</v>
      </c>
      <c r="AB16" s="10">
        <v>2961</v>
      </c>
      <c r="AC16" s="10">
        <v>165475</v>
      </c>
    </row>
    <row r="17" spans="1:29" x14ac:dyDescent="0.3">
      <c r="A17" s="9" t="s">
        <v>173</v>
      </c>
      <c r="B17" s="10">
        <v>5750</v>
      </c>
      <c r="C17" s="10">
        <v>5013</v>
      </c>
      <c r="D17" s="10">
        <v>802</v>
      </c>
      <c r="E17" s="10">
        <v>27</v>
      </c>
      <c r="F17" s="10">
        <v>11592</v>
      </c>
      <c r="G17" s="10">
        <v>1290</v>
      </c>
      <c r="H17" s="10">
        <v>12882</v>
      </c>
      <c r="I17" s="10">
        <v>11634</v>
      </c>
      <c r="J17" s="10">
        <v>1223</v>
      </c>
      <c r="K17" s="10">
        <v>3363</v>
      </c>
      <c r="L17" s="10">
        <v>16219</v>
      </c>
      <c r="M17" s="10">
        <v>17510</v>
      </c>
      <c r="N17" s="10">
        <v>5655</v>
      </c>
      <c r="O17" s="10">
        <v>355</v>
      </c>
      <c r="P17" s="10">
        <v>2019</v>
      </c>
      <c r="Q17" s="10">
        <v>42</v>
      </c>
      <c r="R17" s="10">
        <v>893</v>
      </c>
      <c r="S17" s="10">
        <v>5794</v>
      </c>
      <c r="T17" s="10">
        <v>12466</v>
      </c>
      <c r="U17" s="10">
        <v>1962</v>
      </c>
      <c r="V17" s="10">
        <v>4347</v>
      </c>
      <c r="W17" s="10">
        <v>33532</v>
      </c>
      <c r="X17" s="10">
        <v>62633</v>
      </c>
      <c r="Y17" s="10">
        <v>10425</v>
      </c>
      <c r="Z17" s="10">
        <v>918</v>
      </c>
      <c r="AA17" s="10">
        <v>72140</v>
      </c>
      <c r="AB17" s="10">
        <v>4551</v>
      </c>
      <c r="AC17" s="10">
        <v>158529</v>
      </c>
    </row>
    <row r="18" spans="1:29" x14ac:dyDescent="0.3">
      <c r="A18" s="9" t="s">
        <v>174</v>
      </c>
      <c r="B18" s="10">
        <v>6745</v>
      </c>
      <c r="C18" s="10">
        <v>3351</v>
      </c>
      <c r="D18" s="10">
        <v>802</v>
      </c>
      <c r="E18" s="10">
        <v>26</v>
      </c>
      <c r="F18" s="10">
        <v>10923</v>
      </c>
      <c r="G18" s="10">
        <v>344</v>
      </c>
      <c r="H18" s="10">
        <v>11267</v>
      </c>
      <c r="I18" s="10">
        <v>12949</v>
      </c>
      <c r="J18" s="10">
        <v>1361</v>
      </c>
      <c r="K18" s="10">
        <v>3743</v>
      </c>
      <c r="L18" s="10">
        <v>18053</v>
      </c>
      <c r="M18" s="10">
        <v>18397</v>
      </c>
      <c r="N18" s="10">
        <v>6294</v>
      </c>
      <c r="O18" s="10">
        <v>395</v>
      </c>
      <c r="P18" s="10">
        <v>2247</v>
      </c>
      <c r="Q18" s="10">
        <v>47</v>
      </c>
      <c r="R18" s="10">
        <v>994</v>
      </c>
      <c r="S18" s="10">
        <v>6449</v>
      </c>
      <c r="T18" s="10">
        <v>13876</v>
      </c>
      <c r="U18" s="10">
        <v>2184</v>
      </c>
      <c r="V18" s="10">
        <v>4838</v>
      </c>
      <c r="W18" s="10">
        <v>37323</v>
      </c>
      <c r="X18" s="10">
        <v>66643</v>
      </c>
      <c r="Y18" s="10">
        <v>11093</v>
      </c>
      <c r="Z18" s="10">
        <v>977</v>
      </c>
      <c r="AA18" s="10">
        <v>76759</v>
      </c>
      <c r="AB18" s="10">
        <v>4083</v>
      </c>
      <c r="AC18" s="10">
        <v>187984</v>
      </c>
    </row>
    <row r="19" spans="1:29" s="2" customFormat="1" x14ac:dyDescent="0.3">
      <c r="A19" s="12" t="s">
        <v>404</v>
      </c>
      <c r="B19" s="13">
        <v>33484</v>
      </c>
      <c r="C19" s="13">
        <v>21031</v>
      </c>
      <c r="D19" s="13">
        <v>4988</v>
      </c>
      <c r="E19" s="13">
        <v>153</v>
      </c>
      <c r="F19" s="13">
        <v>59657</v>
      </c>
      <c r="G19" s="13">
        <v>2362</v>
      </c>
      <c r="H19" s="13">
        <v>62019</v>
      </c>
      <c r="I19" s="13">
        <v>86526</v>
      </c>
      <c r="J19" s="13">
        <v>9095</v>
      </c>
      <c r="K19" s="13">
        <v>25009</v>
      </c>
      <c r="L19" s="13">
        <v>120629</v>
      </c>
      <c r="M19" s="13">
        <v>122993</v>
      </c>
      <c r="N19" s="13">
        <v>42057</v>
      </c>
      <c r="O19" s="13">
        <v>2641</v>
      </c>
      <c r="P19" s="13">
        <v>15013</v>
      </c>
      <c r="Q19" s="13">
        <v>313</v>
      </c>
      <c r="R19" s="13">
        <v>6640</v>
      </c>
      <c r="S19" s="13">
        <v>43091</v>
      </c>
      <c r="T19" s="13">
        <v>92716</v>
      </c>
      <c r="U19" s="13">
        <v>14591</v>
      </c>
      <c r="V19" s="13">
        <v>32328</v>
      </c>
      <c r="W19" s="13">
        <v>249388</v>
      </c>
      <c r="X19" s="13">
        <v>432036</v>
      </c>
      <c r="Y19" s="13">
        <v>71914</v>
      </c>
      <c r="Z19" s="13">
        <v>6333</v>
      </c>
      <c r="AA19" s="13">
        <v>497617</v>
      </c>
      <c r="AB19" s="13">
        <v>24851</v>
      </c>
      <c r="AC19" s="13">
        <f>AVERAGE(AC14:AC18)</f>
        <v>182637</v>
      </c>
    </row>
    <row r="20" spans="1:29" x14ac:dyDescent="0.3">
      <c r="A20" s="31" t="s">
        <v>175</v>
      </c>
      <c r="B20" s="32">
        <v>4767</v>
      </c>
      <c r="C20" s="32">
        <v>1910</v>
      </c>
      <c r="D20" s="32">
        <v>639</v>
      </c>
      <c r="E20" s="32">
        <v>27</v>
      </c>
      <c r="F20" s="32">
        <v>7343</v>
      </c>
      <c r="G20" s="32">
        <v>114</v>
      </c>
      <c r="H20" s="32">
        <v>7458</v>
      </c>
      <c r="I20" s="32">
        <v>10469</v>
      </c>
      <c r="J20" s="32">
        <v>1101</v>
      </c>
      <c r="K20" s="32">
        <v>3026</v>
      </c>
      <c r="L20" s="32">
        <v>14596</v>
      </c>
      <c r="M20" s="32">
        <v>14710</v>
      </c>
      <c r="N20" s="32">
        <v>5089</v>
      </c>
      <c r="O20" s="32">
        <v>320</v>
      </c>
      <c r="P20" s="32">
        <v>1816</v>
      </c>
      <c r="Q20" s="32">
        <v>38</v>
      </c>
      <c r="R20" s="32">
        <v>803</v>
      </c>
      <c r="S20" s="32">
        <v>5214</v>
      </c>
      <c r="T20" s="32">
        <v>11218</v>
      </c>
      <c r="U20" s="32">
        <v>1765</v>
      </c>
      <c r="V20" s="32">
        <v>3912</v>
      </c>
      <c r="W20" s="32">
        <v>30175</v>
      </c>
      <c r="X20" s="32">
        <v>52229</v>
      </c>
      <c r="Y20" s="32">
        <v>8694</v>
      </c>
      <c r="Z20" s="32">
        <v>766</v>
      </c>
      <c r="AA20" s="32">
        <v>60157</v>
      </c>
      <c r="AB20" s="32">
        <v>3929</v>
      </c>
      <c r="AC20" s="32">
        <v>153114</v>
      </c>
    </row>
    <row r="21" spans="1:29" x14ac:dyDescent="0.3">
      <c r="A21" s="31" t="s">
        <v>176</v>
      </c>
      <c r="B21" s="32">
        <v>4319</v>
      </c>
      <c r="C21" s="32">
        <v>884</v>
      </c>
      <c r="D21" s="32">
        <v>865</v>
      </c>
      <c r="E21" s="32">
        <v>36</v>
      </c>
      <c r="F21" s="32">
        <v>6104</v>
      </c>
      <c r="G21" s="32">
        <v>309</v>
      </c>
      <c r="H21" s="32">
        <v>6413</v>
      </c>
      <c r="I21" s="32">
        <v>3323</v>
      </c>
      <c r="J21" s="32">
        <v>349</v>
      </c>
      <c r="K21" s="32">
        <v>960</v>
      </c>
      <c r="L21" s="32">
        <v>4632</v>
      </c>
      <c r="M21" s="32">
        <v>4941</v>
      </c>
      <c r="N21" s="32">
        <v>1615</v>
      </c>
      <c r="O21" s="32">
        <v>101</v>
      </c>
      <c r="P21" s="32">
        <v>576</v>
      </c>
      <c r="Q21" s="32">
        <v>12</v>
      </c>
      <c r="R21" s="32">
        <v>255</v>
      </c>
      <c r="S21" s="32">
        <v>1655</v>
      </c>
      <c r="T21" s="32">
        <v>3560</v>
      </c>
      <c r="U21" s="32">
        <v>560</v>
      </c>
      <c r="V21" s="32">
        <v>1241</v>
      </c>
      <c r="W21" s="32">
        <v>9577</v>
      </c>
      <c r="X21" s="32">
        <v>20622</v>
      </c>
      <c r="Y21" s="32">
        <v>3433</v>
      </c>
      <c r="Z21" s="32">
        <v>302</v>
      </c>
      <c r="AA21" s="32">
        <v>23752</v>
      </c>
      <c r="AB21" s="32">
        <v>2048</v>
      </c>
      <c r="AC21" s="32">
        <v>116000</v>
      </c>
    </row>
    <row r="22" spans="1:29" x14ac:dyDescent="0.3">
      <c r="A22" s="31" t="s">
        <v>177</v>
      </c>
      <c r="B22" s="32">
        <v>4338</v>
      </c>
      <c r="C22" s="32">
        <v>544</v>
      </c>
      <c r="D22" s="32">
        <v>219</v>
      </c>
      <c r="E22" s="32">
        <v>43</v>
      </c>
      <c r="F22" s="32">
        <v>5143</v>
      </c>
      <c r="G22" s="32">
        <v>203</v>
      </c>
      <c r="H22" s="32">
        <v>5346</v>
      </c>
      <c r="I22" s="32">
        <v>3386</v>
      </c>
      <c r="J22" s="32">
        <v>356</v>
      </c>
      <c r="K22" s="32">
        <v>979</v>
      </c>
      <c r="L22" s="32">
        <v>4720</v>
      </c>
      <c r="M22" s="32">
        <v>4923</v>
      </c>
      <c r="N22" s="32">
        <v>1646</v>
      </c>
      <c r="O22" s="32">
        <v>103</v>
      </c>
      <c r="P22" s="32">
        <v>587</v>
      </c>
      <c r="Q22" s="32">
        <v>12</v>
      </c>
      <c r="R22" s="32">
        <v>260</v>
      </c>
      <c r="S22" s="32">
        <v>1686</v>
      </c>
      <c r="T22" s="32">
        <v>3628</v>
      </c>
      <c r="U22" s="32">
        <v>571</v>
      </c>
      <c r="V22" s="32">
        <v>1265</v>
      </c>
      <c r="W22" s="32">
        <v>9758</v>
      </c>
      <c r="X22" s="32">
        <v>19824</v>
      </c>
      <c r="Y22" s="32">
        <v>3300</v>
      </c>
      <c r="Z22" s="32">
        <v>291</v>
      </c>
      <c r="AA22" s="32">
        <v>22834</v>
      </c>
      <c r="AB22" s="32">
        <v>1933</v>
      </c>
      <c r="AC22" s="32">
        <v>118099</v>
      </c>
    </row>
    <row r="23" spans="1:29" x14ac:dyDescent="0.3">
      <c r="A23" s="31" t="s">
        <v>178</v>
      </c>
      <c r="B23" s="32">
        <v>2122</v>
      </c>
      <c r="C23" s="32">
        <v>404</v>
      </c>
      <c r="D23" s="32">
        <v>121</v>
      </c>
      <c r="E23" s="32">
        <v>7</v>
      </c>
      <c r="F23" s="32">
        <v>2654</v>
      </c>
      <c r="G23" s="32">
        <v>58</v>
      </c>
      <c r="H23" s="32">
        <v>2712</v>
      </c>
      <c r="I23" s="32">
        <v>1620</v>
      </c>
      <c r="J23" s="32">
        <v>170</v>
      </c>
      <c r="K23" s="32">
        <v>468</v>
      </c>
      <c r="L23" s="32">
        <v>2258</v>
      </c>
      <c r="M23" s="32">
        <v>2317</v>
      </c>
      <c r="N23" s="32">
        <v>787</v>
      </c>
      <c r="O23" s="32">
        <v>49</v>
      </c>
      <c r="P23" s="32">
        <v>281</v>
      </c>
      <c r="Q23" s="32">
        <v>6</v>
      </c>
      <c r="R23" s="32">
        <v>124</v>
      </c>
      <c r="S23" s="32">
        <v>807</v>
      </c>
      <c r="T23" s="32">
        <v>1736</v>
      </c>
      <c r="U23" s="32">
        <v>273</v>
      </c>
      <c r="V23" s="32">
        <v>605</v>
      </c>
      <c r="W23" s="32">
        <v>4668</v>
      </c>
      <c r="X23" s="32">
        <v>9639</v>
      </c>
      <c r="Y23" s="32">
        <v>1604</v>
      </c>
      <c r="Z23" s="32">
        <v>141</v>
      </c>
      <c r="AA23" s="32">
        <v>11102</v>
      </c>
      <c r="AB23" s="32">
        <v>1227</v>
      </c>
      <c r="AC23" s="32">
        <v>90453</v>
      </c>
    </row>
    <row r="24" spans="1:29" x14ac:dyDescent="0.3">
      <c r="A24" s="31" t="s">
        <v>179</v>
      </c>
      <c r="B24" s="32">
        <v>4162</v>
      </c>
      <c r="C24" s="32">
        <v>1617</v>
      </c>
      <c r="D24" s="32">
        <v>323</v>
      </c>
      <c r="E24" s="32">
        <v>23</v>
      </c>
      <c r="F24" s="32">
        <v>6124</v>
      </c>
      <c r="G24" s="32">
        <v>18</v>
      </c>
      <c r="H24" s="32">
        <v>6142</v>
      </c>
      <c r="I24" s="32">
        <v>4527</v>
      </c>
      <c r="J24" s="32">
        <v>476</v>
      </c>
      <c r="K24" s="32">
        <v>1308</v>
      </c>
      <c r="L24" s="32">
        <v>6311</v>
      </c>
      <c r="M24" s="32">
        <v>6329</v>
      </c>
      <c r="N24" s="32">
        <v>2200</v>
      </c>
      <c r="O24" s="32">
        <v>138</v>
      </c>
      <c r="P24" s="32">
        <v>785</v>
      </c>
      <c r="Q24" s="32">
        <v>16</v>
      </c>
      <c r="R24" s="32">
        <v>347</v>
      </c>
      <c r="S24" s="32">
        <v>2254</v>
      </c>
      <c r="T24" s="32">
        <v>4851</v>
      </c>
      <c r="U24" s="32">
        <v>763</v>
      </c>
      <c r="V24" s="32">
        <v>1691</v>
      </c>
      <c r="W24" s="32">
        <v>13048</v>
      </c>
      <c r="X24" s="32">
        <v>25502</v>
      </c>
      <c r="Y24" s="32">
        <v>4245</v>
      </c>
      <c r="Z24" s="32">
        <v>374</v>
      </c>
      <c r="AA24" s="32">
        <v>29373</v>
      </c>
      <c r="AB24" s="32">
        <v>2703</v>
      </c>
      <c r="AC24" s="32">
        <v>108670</v>
      </c>
    </row>
    <row r="25" spans="1:29" x14ac:dyDescent="0.3">
      <c r="A25" s="31" t="s">
        <v>180</v>
      </c>
      <c r="B25" s="32">
        <v>4124</v>
      </c>
      <c r="C25" s="32">
        <v>1493</v>
      </c>
      <c r="D25" s="32">
        <v>785</v>
      </c>
      <c r="E25" s="32">
        <v>73</v>
      </c>
      <c r="F25" s="32">
        <v>6475</v>
      </c>
      <c r="G25" s="32">
        <v>263</v>
      </c>
      <c r="H25" s="32">
        <v>6739</v>
      </c>
      <c r="I25" s="32">
        <v>6601</v>
      </c>
      <c r="J25" s="32">
        <v>694</v>
      </c>
      <c r="K25" s="32">
        <v>1908</v>
      </c>
      <c r="L25" s="32">
        <v>9203</v>
      </c>
      <c r="M25" s="32">
        <v>9466</v>
      </c>
      <c r="N25" s="32">
        <v>3208</v>
      </c>
      <c r="O25" s="32">
        <v>202</v>
      </c>
      <c r="P25" s="32">
        <v>1145</v>
      </c>
      <c r="Q25" s="32">
        <v>24</v>
      </c>
      <c r="R25" s="32">
        <v>506</v>
      </c>
      <c r="S25" s="32">
        <v>3287</v>
      </c>
      <c r="T25" s="32">
        <v>7073</v>
      </c>
      <c r="U25" s="32">
        <v>1113</v>
      </c>
      <c r="V25" s="32">
        <v>2466</v>
      </c>
      <c r="W25" s="32">
        <v>19026</v>
      </c>
      <c r="X25" s="32">
        <v>34967</v>
      </c>
      <c r="Y25" s="32">
        <v>5820</v>
      </c>
      <c r="Z25" s="32">
        <v>513</v>
      </c>
      <c r="AA25" s="32">
        <v>40275</v>
      </c>
      <c r="AB25" s="32">
        <v>3531</v>
      </c>
      <c r="AC25" s="32">
        <v>114066</v>
      </c>
    </row>
    <row r="26" spans="1:29" x14ac:dyDescent="0.3">
      <c r="A26" s="31" t="s">
        <v>181</v>
      </c>
      <c r="B26" s="32">
        <v>2103</v>
      </c>
      <c r="C26" s="32">
        <v>1330</v>
      </c>
      <c r="D26" s="32">
        <v>294</v>
      </c>
      <c r="E26" s="32">
        <v>21</v>
      </c>
      <c r="F26" s="32">
        <v>3748</v>
      </c>
      <c r="G26" s="32">
        <v>358</v>
      </c>
      <c r="H26" s="32">
        <v>4106</v>
      </c>
      <c r="I26" s="32">
        <v>2728</v>
      </c>
      <c r="J26" s="32">
        <v>287</v>
      </c>
      <c r="K26" s="32">
        <v>788</v>
      </c>
      <c r="L26" s="32">
        <v>3803</v>
      </c>
      <c r="M26" s="32">
        <v>4161</v>
      </c>
      <c r="N26" s="32">
        <v>1326</v>
      </c>
      <c r="O26" s="32">
        <v>83</v>
      </c>
      <c r="P26" s="32">
        <v>473</v>
      </c>
      <c r="Q26" s="32">
        <v>10</v>
      </c>
      <c r="R26" s="32">
        <v>209</v>
      </c>
      <c r="S26" s="32">
        <v>1358</v>
      </c>
      <c r="T26" s="32">
        <v>2923</v>
      </c>
      <c r="U26" s="32">
        <v>460</v>
      </c>
      <c r="V26" s="32">
        <v>1019</v>
      </c>
      <c r="W26" s="32">
        <v>7862</v>
      </c>
      <c r="X26" s="32">
        <v>15771</v>
      </c>
      <c r="Y26" s="32">
        <v>2625</v>
      </c>
      <c r="Z26" s="32">
        <v>231</v>
      </c>
      <c r="AA26" s="32">
        <v>18165</v>
      </c>
      <c r="AB26" s="32">
        <v>1730</v>
      </c>
      <c r="AC26" s="32">
        <v>105006</v>
      </c>
    </row>
    <row r="27" spans="1:29" x14ac:dyDescent="0.3">
      <c r="A27" s="31" t="s">
        <v>182</v>
      </c>
      <c r="B27" s="32">
        <v>4411</v>
      </c>
      <c r="C27" s="32">
        <v>1114</v>
      </c>
      <c r="D27" s="32">
        <v>1510</v>
      </c>
      <c r="E27" s="32">
        <v>32</v>
      </c>
      <c r="F27" s="32">
        <v>7066</v>
      </c>
      <c r="G27" s="32">
        <v>104</v>
      </c>
      <c r="H27" s="32">
        <v>7171</v>
      </c>
      <c r="I27" s="32">
        <v>4936</v>
      </c>
      <c r="J27" s="32">
        <v>519</v>
      </c>
      <c r="K27" s="32">
        <v>1427</v>
      </c>
      <c r="L27" s="32">
        <v>6881</v>
      </c>
      <c r="M27" s="32">
        <v>6985</v>
      </c>
      <c r="N27" s="32">
        <v>2399</v>
      </c>
      <c r="O27" s="32">
        <v>151</v>
      </c>
      <c r="P27" s="32">
        <v>856</v>
      </c>
      <c r="Q27" s="32">
        <v>18</v>
      </c>
      <c r="R27" s="32">
        <v>379</v>
      </c>
      <c r="S27" s="32">
        <v>2458</v>
      </c>
      <c r="T27" s="32">
        <v>5289</v>
      </c>
      <c r="U27" s="32">
        <v>832</v>
      </c>
      <c r="V27" s="32">
        <v>1844</v>
      </c>
      <c r="W27" s="32">
        <v>14226</v>
      </c>
      <c r="X27" s="32">
        <v>28278</v>
      </c>
      <c r="Y27" s="32">
        <v>4707</v>
      </c>
      <c r="Z27" s="32">
        <v>414</v>
      </c>
      <c r="AA27" s="32">
        <v>32570</v>
      </c>
      <c r="AB27" s="32">
        <v>2575</v>
      </c>
      <c r="AC27" s="32">
        <v>126475</v>
      </c>
    </row>
    <row r="28" spans="1:29" s="2" customFormat="1" x14ac:dyDescent="0.3">
      <c r="A28" s="14" t="s">
        <v>403</v>
      </c>
      <c r="B28" s="15">
        <v>30346</v>
      </c>
      <c r="C28" s="15">
        <v>9296</v>
      </c>
      <c r="D28" s="15">
        <v>4756</v>
      </c>
      <c r="E28" s="15">
        <v>262</v>
      </c>
      <c r="F28" s="15">
        <v>44657</v>
      </c>
      <c r="G28" s="15">
        <v>1427</v>
      </c>
      <c r="H28" s="15">
        <v>46087</v>
      </c>
      <c r="I28" s="15">
        <v>37590</v>
      </c>
      <c r="J28" s="15">
        <v>3952</v>
      </c>
      <c r="K28" s="15">
        <v>10864</v>
      </c>
      <c r="L28" s="15">
        <v>52404</v>
      </c>
      <c r="M28" s="15">
        <v>53832</v>
      </c>
      <c r="N28" s="15">
        <v>18270</v>
      </c>
      <c r="O28" s="15">
        <v>1147</v>
      </c>
      <c r="P28" s="15">
        <v>6519</v>
      </c>
      <c r="Q28" s="15">
        <v>136</v>
      </c>
      <c r="R28" s="15">
        <v>2883</v>
      </c>
      <c r="S28" s="15">
        <v>18719</v>
      </c>
      <c r="T28" s="15">
        <v>40278</v>
      </c>
      <c r="U28" s="15">
        <v>6337</v>
      </c>
      <c r="V28" s="15">
        <v>14043</v>
      </c>
      <c r="W28" s="15">
        <v>108340</v>
      </c>
      <c r="X28" s="15">
        <v>206832</v>
      </c>
      <c r="Y28" s="15">
        <v>34428</v>
      </c>
      <c r="Z28" s="15">
        <v>3032</v>
      </c>
      <c r="AA28" s="15">
        <v>238228</v>
      </c>
      <c r="AB28" s="15">
        <v>19676</v>
      </c>
      <c r="AC28" s="15">
        <f>AVERAGE(AC20:AC27)</f>
        <v>116485.375</v>
      </c>
    </row>
    <row r="29" spans="1:29" x14ac:dyDescent="0.3">
      <c r="A29" s="34" t="s">
        <v>183</v>
      </c>
      <c r="B29" s="35">
        <v>5219</v>
      </c>
      <c r="C29" s="35">
        <v>777</v>
      </c>
      <c r="D29" s="35">
        <v>271</v>
      </c>
      <c r="E29" s="35">
        <v>47</v>
      </c>
      <c r="F29" s="35">
        <v>6314</v>
      </c>
      <c r="G29" s="35">
        <v>484</v>
      </c>
      <c r="H29" s="35">
        <v>6798</v>
      </c>
      <c r="I29" s="35">
        <v>3677</v>
      </c>
      <c r="J29" s="35">
        <v>387</v>
      </c>
      <c r="K29" s="35">
        <v>1063</v>
      </c>
      <c r="L29" s="35">
        <v>5127</v>
      </c>
      <c r="M29" s="35">
        <v>5610</v>
      </c>
      <c r="N29" s="35">
        <v>1787</v>
      </c>
      <c r="O29" s="35">
        <v>112</v>
      </c>
      <c r="P29" s="35">
        <v>638</v>
      </c>
      <c r="Q29" s="35">
        <v>13</v>
      </c>
      <c r="R29" s="35">
        <v>282</v>
      </c>
      <c r="S29" s="35">
        <v>1831</v>
      </c>
      <c r="T29" s="35">
        <v>3940</v>
      </c>
      <c r="U29" s="35">
        <v>620</v>
      </c>
      <c r="V29" s="35">
        <v>1374</v>
      </c>
      <c r="W29" s="35">
        <v>10599</v>
      </c>
      <c r="X29" s="35">
        <v>22523</v>
      </c>
      <c r="Y29" s="35">
        <v>3749</v>
      </c>
      <c r="Z29" s="35">
        <v>330</v>
      </c>
      <c r="AA29" s="35">
        <v>25942</v>
      </c>
      <c r="AB29" s="35">
        <v>2706</v>
      </c>
      <c r="AC29" s="35">
        <v>95852</v>
      </c>
    </row>
    <row r="30" spans="1:29" x14ac:dyDescent="0.3">
      <c r="A30" s="34" t="s">
        <v>184</v>
      </c>
      <c r="B30" s="35">
        <v>4239</v>
      </c>
      <c r="C30" s="35">
        <v>455</v>
      </c>
      <c r="D30" s="35">
        <v>198</v>
      </c>
      <c r="E30" s="35">
        <v>18</v>
      </c>
      <c r="F30" s="35">
        <v>4910</v>
      </c>
      <c r="G30" s="35">
        <v>421</v>
      </c>
      <c r="H30" s="35">
        <v>5331</v>
      </c>
      <c r="I30" s="35">
        <v>4148</v>
      </c>
      <c r="J30" s="35">
        <v>436</v>
      </c>
      <c r="K30" s="35">
        <v>1199</v>
      </c>
      <c r="L30" s="35">
        <v>5783</v>
      </c>
      <c r="M30" s="35">
        <v>6203</v>
      </c>
      <c r="N30" s="35">
        <v>2016</v>
      </c>
      <c r="O30" s="35">
        <v>127</v>
      </c>
      <c r="P30" s="35">
        <v>720</v>
      </c>
      <c r="Q30" s="35">
        <v>15</v>
      </c>
      <c r="R30" s="35">
        <v>318</v>
      </c>
      <c r="S30" s="35">
        <v>2066</v>
      </c>
      <c r="T30" s="35">
        <v>4444</v>
      </c>
      <c r="U30" s="35">
        <v>699</v>
      </c>
      <c r="V30" s="35">
        <v>1550</v>
      </c>
      <c r="W30" s="35">
        <v>11955</v>
      </c>
      <c r="X30" s="35">
        <v>23068</v>
      </c>
      <c r="Y30" s="35">
        <v>3840</v>
      </c>
      <c r="Z30" s="35">
        <v>338</v>
      </c>
      <c r="AA30" s="35">
        <v>26570</v>
      </c>
      <c r="AB30" s="35">
        <v>1921</v>
      </c>
      <c r="AC30" s="35">
        <v>138349</v>
      </c>
    </row>
    <row r="31" spans="1:29" x14ac:dyDescent="0.3">
      <c r="A31" s="34" t="s">
        <v>185</v>
      </c>
      <c r="B31" s="35">
        <v>2569</v>
      </c>
      <c r="C31" s="35">
        <v>422</v>
      </c>
      <c r="D31" s="35">
        <v>118</v>
      </c>
      <c r="E31" s="35">
        <v>55</v>
      </c>
      <c r="F31" s="35">
        <v>3165</v>
      </c>
      <c r="G31" s="35">
        <v>14</v>
      </c>
      <c r="H31" s="35">
        <v>3178</v>
      </c>
      <c r="I31" s="35">
        <v>1529</v>
      </c>
      <c r="J31" s="35">
        <v>161</v>
      </c>
      <c r="K31" s="35">
        <v>442</v>
      </c>
      <c r="L31" s="35">
        <v>2132</v>
      </c>
      <c r="M31" s="35">
        <v>2145</v>
      </c>
      <c r="N31" s="35">
        <v>743</v>
      </c>
      <c r="O31" s="35">
        <v>47</v>
      </c>
      <c r="P31" s="35">
        <v>265</v>
      </c>
      <c r="Q31" s="35">
        <v>6</v>
      </c>
      <c r="R31" s="35">
        <v>117</v>
      </c>
      <c r="S31" s="35">
        <v>762</v>
      </c>
      <c r="T31" s="35">
        <v>1639</v>
      </c>
      <c r="U31" s="35">
        <v>258</v>
      </c>
      <c r="V31" s="35">
        <v>571</v>
      </c>
      <c r="W31" s="35">
        <v>4407</v>
      </c>
      <c r="X31" s="35">
        <v>9718</v>
      </c>
      <c r="Y31" s="35">
        <v>1618</v>
      </c>
      <c r="Z31" s="35">
        <v>142</v>
      </c>
      <c r="AA31" s="35">
        <v>11193</v>
      </c>
      <c r="AB31" s="35">
        <v>1250</v>
      </c>
      <c r="AC31" s="35">
        <v>89544</v>
      </c>
    </row>
    <row r="32" spans="1:29" x14ac:dyDescent="0.3">
      <c r="A32" s="34" t="s">
        <v>186</v>
      </c>
      <c r="B32" s="35">
        <v>7494</v>
      </c>
      <c r="C32" s="35">
        <v>1088</v>
      </c>
      <c r="D32" s="35">
        <v>628</v>
      </c>
      <c r="E32" s="35">
        <v>31</v>
      </c>
      <c r="F32" s="35">
        <v>9241</v>
      </c>
      <c r="G32" s="35">
        <v>285</v>
      </c>
      <c r="H32" s="35">
        <v>9526</v>
      </c>
      <c r="I32" s="35">
        <v>5968</v>
      </c>
      <c r="J32" s="35">
        <v>627</v>
      </c>
      <c r="K32" s="35">
        <v>1725</v>
      </c>
      <c r="L32" s="35">
        <v>8320</v>
      </c>
      <c r="M32" s="35">
        <v>8605</v>
      </c>
      <c r="N32" s="35">
        <v>2901</v>
      </c>
      <c r="O32" s="35">
        <v>182</v>
      </c>
      <c r="P32" s="35">
        <v>1035</v>
      </c>
      <c r="Q32" s="35">
        <v>22</v>
      </c>
      <c r="R32" s="35">
        <v>458</v>
      </c>
      <c r="S32" s="35">
        <v>2972</v>
      </c>
      <c r="T32" s="35">
        <v>6394</v>
      </c>
      <c r="U32" s="35">
        <v>1006</v>
      </c>
      <c r="V32" s="35">
        <v>2230</v>
      </c>
      <c r="W32" s="35">
        <v>17200</v>
      </c>
      <c r="X32" s="35">
        <v>35045</v>
      </c>
      <c r="Y32" s="35">
        <v>5833</v>
      </c>
      <c r="Z32" s="35">
        <v>514</v>
      </c>
      <c r="AA32" s="35">
        <v>40365</v>
      </c>
      <c r="AB32" s="35">
        <v>3051</v>
      </c>
      <c r="AC32" s="35">
        <v>132302</v>
      </c>
    </row>
    <row r="33" spans="1:29" x14ac:dyDescent="0.3">
      <c r="A33" s="34" t="s">
        <v>187</v>
      </c>
      <c r="B33" s="35">
        <v>6149</v>
      </c>
      <c r="C33" s="35">
        <v>781</v>
      </c>
      <c r="D33" s="35">
        <v>1033</v>
      </c>
      <c r="E33" s="35">
        <v>38</v>
      </c>
      <c r="F33" s="35">
        <v>8001</v>
      </c>
      <c r="G33" s="35">
        <v>1599</v>
      </c>
      <c r="H33" s="35">
        <v>9600</v>
      </c>
      <c r="I33" s="35">
        <v>4256</v>
      </c>
      <c r="J33" s="35">
        <v>447</v>
      </c>
      <c r="K33" s="35">
        <v>1230</v>
      </c>
      <c r="L33" s="35">
        <v>5934</v>
      </c>
      <c r="M33" s="35">
        <v>7533</v>
      </c>
      <c r="N33" s="35">
        <v>2069</v>
      </c>
      <c r="O33" s="35">
        <v>130</v>
      </c>
      <c r="P33" s="35">
        <v>738</v>
      </c>
      <c r="Q33" s="35">
        <v>15</v>
      </c>
      <c r="R33" s="35">
        <v>327</v>
      </c>
      <c r="S33" s="35">
        <v>2120</v>
      </c>
      <c r="T33" s="35">
        <v>4561</v>
      </c>
      <c r="U33" s="35">
        <v>718</v>
      </c>
      <c r="V33" s="35">
        <v>1590</v>
      </c>
      <c r="W33" s="35">
        <v>12267</v>
      </c>
      <c r="X33" s="35">
        <v>27801</v>
      </c>
      <c r="Y33" s="35">
        <v>4628</v>
      </c>
      <c r="Z33" s="35">
        <v>408</v>
      </c>
      <c r="AA33" s="35">
        <v>32021</v>
      </c>
      <c r="AB33" s="35">
        <v>2902</v>
      </c>
      <c r="AC33" s="35">
        <v>110347</v>
      </c>
    </row>
    <row r="34" spans="1:29" s="2" customFormat="1" x14ac:dyDescent="0.3">
      <c r="A34" s="16" t="s">
        <v>407</v>
      </c>
      <c r="B34" s="17">
        <v>25670</v>
      </c>
      <c r="C34" s="17">
        <v>3523</v>
      </c>
      <c r="D34" s="17">
        <v>2248</v>
      </c>
      <c r="E34" s="17">
        <v>189</v>
      </c>
      <c r="F34" s="17">
        <v>31631</v>
      </c>
      <c r="G34" s="17">
        <v>2803</v>
      </c>
      <c r="H34" s="17">
        <v>34433</v>
      </c>
      <c r="I34" s="17">
        <v>19578</v>
      </c>
      <c r="J34" s="17">
        <v>2058</v>
      </c>
      <c r="K34" s="17">
        <v>5659</v>
      </c>
      <c r="L34" s="17">
        <v>27296</v>
      </c>
      <c r="M34" s="17">
        <v>30096</v>
      </c>
      <c r="N34" s="17">
        <v>9516</v>
      </c>
      <c r="O34" s="17">
        <v>598</v>
      </c>
      <c r="P34" s="17">
        <v>3396</v>
      </c>
      <c r="Q34" s="17">
        <v>71</v>
      </c>
      <c r="R34" s="17">
        <v>1502</v>
      </c>
      <c r="S34" s="17">
        <v>9751</v>
      </c>
      <c r="T34" s="17">
        <v>20978</v>
      </c>
      <c r="U34" s="17">
        <v>3301</v>
      </c>
      <c r="V34" s="17">
        <v>7315</v>
      </c>
      <c r="W34" s="17">
        <v>56428</v>
      </c>
      <c r="X34" s="17">
        <v>118155</v>
      </c>
      <c r="Y34" s="17">
        <v>19668</v>
      </c>
      <c r="Z34" s="17">
        <v>1732</v>
      </c>
      <c r="AA34" s="17">
        <v>136091</v>
      </c>
      <c r="AB34" s="17">
        <v>11830</v>
      </c>
      <c r="AC34" s="17">
        <f>AVERAGE(AC29:AC33)</f>
        <v>113278.8</v>
      </c>
    </row>
    <row r="35" spans="1:29" x14ac:dyDescent="0.3">
      <c r="A35" s="20" t="s">
        <v>188</v>
      </c>
      <c r="B35" s="21">
        <v>3216</v>
      </c>
      <c r="C35" s="21">
        <v>344</v>
      </c>
      <c r="D35" s="21">
        <v>698</v>
      </c>
      <c r="E35" s="21">
        <v>94</v>
      </c>
      <c r="F35" s="21">
        <v>4353</v>
      </c>
      <c r="G35" s="21">
        <v>158</v>
      </c>
      <c r="H35" s="21">
        <v>4511</v>
      </c>
      <c r="I35" s="21">
        <v>3124</v>
      </c>
      <c r="J35" s="21">
        <v>328</v>
      </c>
      <c r="K35" s="21">
        <v>903</v>
      </c>
      <c r="L35" s="21">
        <v>4355</v>
      </c>
      <c r="M35" s="21">
        <v>4513</v>
      </c>
      <c r="N35" s="21">
        <v>1518</v>
      </c>
      <c r="O35" s="21">
        <v>95</v>
      </c>
      <c r="P35" s="21">
        <v>542</v>
      </c>
      <c r="Q35" s="21">
        <v>11</v>
      </c>
      <c r="R35" s="21">
        <v>240</v>
      </c>
      <c r="S35" s="21">
        <v>1556</v>
      </c>
      <c r="T35" s="21">
        <v>3348</v>
      </c>
      <c r="U35" s="21">
        <v>527</v>
      </c>
      <c r="V35" s="21">
        <v>1167</v>
      </c>
      <c r="W35" s="21">
        <v>9004</v>
      </c>
      <c r="X35" s="21">
        <v>17870</v>
      </c>
      <c r="Y35" s="21">
        <v>2975</v>
      </c>
      <c r="Z35" s="21">
        <v>262</v>
      </c>
      <c r="AA35" s="21">
        <v>20583</v>
      </c>
      <c r="AB35" s="21">
        <v>1371</v>
      </c>
      <c r="AC35" s="21">
        <v>150128</v>
      </c>
    </row>
    <row r="36" spans="1:29" x14ac:dyDescent="0.3">
      <c r="A36" s="20" t="s">
        <v>189</v>
      </c>
      <c r="B36" s="21">
        <v>5225</v>
      </c>
      <c r="C36" s="21">
        <v>795</v>
      </c>
      <c r="D36" s="21">
        <v>746</v>
      </c>
      <c r="E36" s="21">
        <v>286</v>
      </c>
      <c r="F36" s="21">
        <v>7051</v>
      </c>
      <c r="G36" s="21">
        <v>1416</v>
      </c>
      <c r="H36" s="21">
        <v>8467</v>
      </c>
      <c r="I36" s="21">
        <v>20458</v>
      </c>
      <c r="J36" s="21">
        <v>2151</v>
      </c>
      <c r="K36" s="21">
        <v>5913</v>
      </c>
      <c r="L36" s="21">
        <v>28522</v>
      </c>
      <c r="M36" s="21">
        <v>29937</v>
      </c>
      <c r="N36" s="21">
        <v>9944</v>
      </c>
      <c r="O36" s="21">
        <v>625</v>
      </c>
      <c r="P36" s="21">
        <v>3550</v>
      </c>
      <c r="Q36" s="21">
        <v>74</v>
      </c>
      <c r="R36" s="21">
        <v>1570</v>
      </c>
      <c r="S36" s="21">
        <v>10188</v>
      </c>
      <c r="T36" s="21">
        <v>21922</v>
      </c>
      <c r="U36" s="21">
        <v>3450</v>
      </c>
      <c r="V36" s="21">
        <v>7643</v>
      </c>
      <c r="W36" s="21">
        <v>58965</v>
      </c>
      <c r="X36" s="21">
        <v>95953</v>
      </c>
      <c r="Y36" s="21">
        <v>15972</v>
      </c>
      <c r="Z36" s="21">
        <v>1407</v>
      </c>
      <c r="AA36" s="21">
        <v>110519</v>
      </c>
      <c r="AB36" s="21">
        <v>5016</v>
      </c>
      <c r="AC36" s="21">
        <v>220345</v>
      </c>
    </row>
    <row r="37" spans="1:29" x14ac:dyDescent="0.3">
      <c r="A37" s="20" t="s">
        <v>190</v>
      </c>
      <c r="B37" s="21">
        <v>1673</v>
      </c>
      <c r="C37" s="21">
        <v>383</v>
      </c>
      <c r="D37" s="21">
        <v>698</v>
      </c>
      <c r="E37" s="21">
        <v>342</v>
      </c>
      <c r="F37" s="21">
        <v>3096</v>
      </c>
      <c r="G37" s="21">
        <v>1321</v>
      </c>
      <c r="H37" s="21">
        <v>4417</v>
      </c>
      <c r="I37" s="21">
        <v>2095</v>
      </c>
      <c r="J37" s="21">
        <v>220</v>
      </c>
      <c r="K37" s="21">
        <v>605</v>
      </c>
      <c r="L37" s="21">
        <v>2920</v>
      </c>
      <c r="M37" s="21">
        <v>4242</v>
      </c>
      <c r="N37" s="21">
        <v>1018</v>
      </c>
      <c r="O37" s="21">
        <v>64</v>
      </c>
      <c r="P37" s="21">
        <v>363</v>
      </c>
      <c r="Q37" s="21">
        <v>8</v>
      </c>
      <c r="R37" s="21">
        <v>161</v>
      </c>
      <c r="S37" s="21">
        <v>1043</v>
      </c>
      <c r="T37" s="21">
        <v>2244</v>
      </c>
      <c r="U37" s="21">
        <v>353</v>
      </c>
      <c r="V37" s="21">
        <v>783</v>
      </c>
      <c r="W37" s="21">
        <v>6037</v>
      </c>
      <c r="X37" s="21">
        <v>13374</v>
      </c>
      <c r="Y37" s="21">
        <v>2226</v>
      </c>
      <c r="Z37" s="21">
        <v>196</v>
      </c>
      <c r="AA37" s="21">
        <v>15404</v>
      </c>
      <c r="AB37" s="21">
        <v>1255</v>
      </c>
      <c r="AC37" s="21">
        <v>122767</v>
      </c>
    </row>
    <row r="38" spans="1:29" x14ac:dyDescent="0.3">
      <c r="A38" s="20" t="s">
        <v>191</v>
      </c>
      <c r="B38" s="21">
        <v>1639</v>
      </c>
      <c r="C38" s="21">
        <v>317</v>
      </c>
      <c r="D38" s="21">
        <v>416</v>
      </c>
      <c r="E38" s="21">
        <v>253</v>
      </c>
      <c r="F38" s="21">
        <v>2625</v>
      </c>
      <c r="G38" s="21">
        <v>251</v>
      </c>
      <c r="H38" s="21">
        <v>2876</v>
      </c>
      <c r="I38" s="21">
        <v>2696</v>
      </c>
      <c r="J38" s="21">
        <v>283</v>
      </c>
      <c r="K38" s="21">
        <v>779</v>
      </c>
      <c r="L38" s="21">
        <v>3759</v>
      </c>
      <c r="M38" s="21">
        <v>4010</v>
      </c>
      <c r="N38" s="21">
        <v>1310</v>
      </c>
      <c r="O38" s="21">
        <v>82</v>
      </c>
      <c r="P38" s="21">
        <v>468</v>
      </c>
      <c r="Q38" s="21">
        <v>10</v>
      </c>
      <c r="R38" s="21">
        <v>207</v>
      </c>
      <c r="S38" s="21">
        <v>1343</v>
      </c>
      <c r="T38" s="21">
        <v>2889</v>
      </c>
      <c r="U38" s="21">
        <v>455</v>
      </c>
      <c r="V38" s="21">
        <v>1007</v>
      </c>
      <c r="W38" s="21">
        <v>7770</v>
      </c>
      <c r="X38" s="21">
        <v>14405</v>
      </c>
      <c r="Y38" s="21">
        <v>2398</v>
      </c>
      <c r="Z38" s="21">
        <v>211</v>
      </c>
      <c r="AA38" s="21">
        <v>16591</v>
      </c>
      <c r="AB38" s="21">
        <v>1380</v>
      </c>
      <c r="AC38" s="21">
        <v>120198</v>
      </c>
    </row>
    <row r="39" spans="1:29" x14ac:dyDescent="0.3">
      <c r="A39" s="20" t="s">
        <v>192</v>
      </c>
      <c r="B39" s="21">
        <v>3067</v>
      </c>
      <c r="C39" s="21">
        <v>318</v>
      </c>
      <c r="D39" s="21">
        <v>1059</v>
      </c>
      <c r="E39" s="21">
        <v>251</v>
      </c>
      <c r="F39" s="21">
        <v>4695</v>
      </c>
      <c r="G39" s="21">
        <v>2830</v>
      </c>
      <c r="H39" s="21">
        <v>7525</v>
      </c>
      <c r="I39" s="21">
        <v>5032</v>
      </c>
      <c r="J39" s="21">
        <v>529</v>
      </c>
      <c r="K39" s="21">
        <v>1454</v>
      </c>
      <c r="L39" s="21">
        <v>7015</v>
      </c>
      <c r="M39" s="21">
        <v>9845</v>
      </c>
      <c r="N39" s="21">
        <v>2446</v>
      </c>
      <c r="O39" s="21">
        <v>154</v>
      </c>
      <c r="P39" s="21">
        <v>873</v>
      </c>
      <c r="Q39" s="21">
        <v>18</v>
      </c>
      <c r="R39" s="21">
        <v>386</v>
      </c>
      <c r="S39" s="21">
        <v>2506</v>
      </c>
      <c r="T39" s="21">
        <v>5392</v>
      </c>
      <c r="U39" s="21">
        <v>848</v>
      </c>
      <c r="V39" s="21">
        <v>1880</v>
      </c>
      <c r="W39" s="21">
        <v>14502</v>
      </c>
      <c r="X39" s="21">
        <v>29042</v>
      </c>
      <c r="Y39" s="21">
        <v>4834</v>
      </c>
      <c r="Z39" s="21">
        <v>426</v>
      </c>
      <c r="AA39" s="21">
        <v>33451</v>
      </c>
      <c r="AB39" s="21">
        <v>2327</v>
      </c>
      <c r="AC39" s="21">
        <v>143736</v>
      </c>
    </row>
    <row r="40" spans="1:29" x14ac:dyDescent="0.3">
      <c r="A40" s="20" t="s">
        <v>193</v>
      </c>
      <c r="B40" s="21">
        <v>859</v>
      </c>
      <c r="C40" s="21">
        <v>333</v>
      </c>
      <c r="D40" s="21">
        <v>552</v>
      </c>
      <c r="E40" s="21">
        <v>92</v>
      </c>
      <c r="F40" s="21">
        <v>1835</v>
      </c>
      <c r="G40" s="21">
        <v>382</v>
      </c>
      <c r="H40" s="21">
        <v>2217</v>
      </c>
      <c r="I40" s="21">
        <v>1471</v>
      </c>
      <c r="J40" s="21">
        <v>155</v>
      </c>
      <c r="K40" s="21">
        <v>425</v>
      </c>
      <c r="L40" s="21">
        <v>2050</v>
      </c>
      <c r="M40" s="21">
        <v>2432</v>
      </c>
      <c r="N40" s="21">
        <v>715</v>
      </c>
      <c r="O40" s="21">
        <v>45</v>
      </c>
      <c r="P40" s="21">
        <v>255</v>
      </c>
      <c r="Q40" s="21">
        <v>5</v>
      </c>
      <c r="R40" s="21">
        <v>113</v>
      </c>
      <c r="S40" s="21">
        <v>732</v>
      </c>
      <c r="T40" s="21">
        <v>1576</v>
      </c>
      <c r="U40" s="21">
        <v>248</v>
      </c>
      <c r="V40" s="21">
        <v>549</v>
      </c>
      <c r="W40" s="21">
        <v>4238</v>
      </c>
      <c r="X40" s="21">
        <v>8506</v>
      </c>
      <c r="Y40" s="21">
        <v>1416</v>
      </c>
      <c r="Z40" s="21">
        <v>125</v>
      </c>
      <c r="AA40" s="21">
        <v>9797</v>
      </c>
      <c r="AB40" s="21">
        <v>1116</v>
      </c>
      <c r="AC40" s="21">
        <v>87825</v>
      </c>
    </row>
    <row r="41" spans="1:29" s="2" customFormat="1" x14ac:dyDescent="0.3">
      <c r="A41" s="23" t="s">
        <v>402</v>
      </c>
      <c r="B41" s="24">
        <v>15679</v>
      </c>
      <c r="C41" s="24">
        <v>2490</v>
      </c>
      <c r="D41" s="24">
        <v>4169</v>
      </c>
      <c r="E41" s="24">
        <v>1318</v>
      </c>
      <c r="F41" s="24">
        <v>23655</v>
      </c>
      <c r="G41" s="24">
        <v>6358</v>
      </c>
      <c r="H41" s="24">
        <v>30013</v>
      </c>
      <c r="I41" s="24">
        <v>34876</v>
      </c>
      <c r="J41" s="24">
        <v>3666</v>
      </c>
      <c r="K41" s="24">
        <v>10079</v>
      </c>
      <c r="L41" s="24">
        <v>48621</v>
      </c>
      <c r="M41" s="24">
        <v>54979</v>
      </c>
      <c r="N41" s="24">
        <v>16951</v>
      </c>
      <c r="O41" s="24">
        <v>1065</v>
      </c>
      <c r="P41" s="24">
        <v>6051</v>
      </c>
      <c r="Q41" s="24">
        <v>126</v>
      </c>
      <c r="R41" s="24">
        <v>2677</v>
      </c>
      <c r="S41" s="24">
        <v>17368</v>
      </c>
      <c r="T41" s="24">
        <v>37371</v>
      </c>
      <c r="U41" s="24">
        <v>5881</v>
      </c>
      <c r="V41" s="24">
        <v>13029</v>
      </c>
      <c r="W41" s="24">
        <v>100516</v>
      </c>
      <c r="X41" s="24">
        <v>179150</v>
      </c>
      <c r="Y41" s="24">
        <v>29821</v>
      </c>
      <c r="Z41" s="24">
        <v>2627</v>
      </c>
      <c r="AA41" s="24">
        <v>206345</v>
      </c>
      <c r="AB41" s="24">
        <v>12465</v>
      </c>
      <c r="AC41" s="24">
        <f>AVERAGE(AC35:AC40)</f>
        <v>140833.16666666666</v>
      </c>
    </row>
    <row r="42" spans="1:29" s="2" customFormat="1" x14ac:dyDescent="0.3">
      <c r="A42" s="25" t="s">
        <v>406</v>
      </c>
      <c r="B42" s="26">
        <v>153822</v>
      </c>
      <c r="C42" s="26">
        <v>51381</v>
      </c>
      <c r="D42" s="26">
        <v>24278</v>
      </c>
      <c r="E42" s="26">
        <v>6277</v>
      </c>
      <c r="F42" s="26">
        <v>235758</v>
      </c>
      <c r="G42" s="26">
        <v>60247</v>
      </c>
      <c r="H42" s="26">
        <v>296008</v>
      </c>
      <c r="I42" s="26">
        <v>377070</v>
      </c>
      <c r="J42" s="26">
        <v>39639</v>
      </c>
      <c r="K42" s="26">
        <v>108983</v>
      </c>
      <c r="L42" s="26">
        <v>525688</v>
      </c>
      <c r="M42" s="26">
        <v>585934</v>
      </c>
      <c r="N42" s="26">
        <v>183274</v>
      </c>
      <c r="O42" s="26">
        <v>11511</v>
      </c>
      <c r="P42" s="26">
        <v>65420</v>
      </c>
      <c r="Q42" s="26">
        <v>1364</v>
      </c>
      <c r="R42" s="26">
        <v>28932</v>
      </c>
      <c r="S42" s="26">
        <v>187783</v>
      </c>
      <c r="T42" s="26">
        <v>404043</v>
      </c>
      <c r="U42" s="26">
        <v>63582</v>
      </c>
      <c r="V42" s="26">
        <v>140878</v>
      </c>
      <c r="W42" s="26">
        <v>1086791</v>
      </c>
      <c r="X42" s="26">
        <v>1908486</v>
      </c>
      <c r="Y42" s="26">
        <v>317676</v>
      </c>
      <c r="Z42" s="26">
        <v>27976</v>
      </c>
      <c r="AA42" s="26">
        <v>2198184</v>
      </c>
      <c r="AB42" s="26">
        <v>119393</v>
      </c>
      <c r="AC42" s="26">
        <f>AVERAGE(AC41,AC34,AC28,AC13,AC7,AC19)</f>
        <v>151715.75694444444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42"/>
  <sheetViews>
    <sheetView tabSelected="1" zoomScale="122" zoomScaleNormal="122" workbookViewId="0">
      <selection activeCell="J12" sqref="J12"/>
    </sheetView>
  </sheetViews>
  <sheetFormatPr defaultRowHeight="12" x14ac:dyDescent="0.25"/>
  <cols>
    <col min="1" max="1" width="26.109375" style="1" bestFit="1" customWidth="1"/>
    <col min="2" max="2" width="7.109375" style="1" bestFit="1" customWidth="1"/>
    <col min="3" max="3" width="7.88671875" style="1" customWidth="1"/>
    <col min="4" max="4" width="13.77734375" style="1" bestFit="1" customWidth="1"/>
    <col min="5" max="5" width="15.21875" style="1" bestFit="1" customWidth="1"/>
    <col min="6" max="6" width="19.21875" style="1" bestFit="1" customWidth="1"/>
    <col min="7" max="7" width="13" style="1" bestFit="1" customWidth="1"/>
    <col min="8" max="8" width="9.33203125" style="1" bestFit="1" customWidth="1"/>
    <col min="9" max="9" width="9.6640625" style="1" bestFit="1" customWidth="1"/>
    <col min="10" max="10" width="33.5546875" style="1" bestFit="1" customWidth="1"/>
    <col min="11" max="11" width="8.5546875" style="1" bestFit="1" customWidth="1"/>
    <col min="12" max="12" width="11.21875" style="1" bestFit="1" customWidth="1"/>
    <col min="13" max="13" width="6.109375" style="1" bestFit="1" customWidth="1"/>
    <col min="14" max="14" width="22.77734375" style="1" bestFit="1" customWidth="1"/>
    <col min="15" max="15" width="6.109375" style="1" bestFit="1" customWidth="1"/>
    <col min="16" max="16" width="25.5546875" style="1" bestFit="1" customWidth="1"/>
    <col min="17" max="17" width="5.33203125" style="1" bestFit="1" customWidth="1"/>
    <col min="18" max="18" width="23.44140625" style="1" bestFit="1" customWidth="1"/>
    <col min="19" max="19" width="11.44140625" style="1" bestFit="1" customWidth="1"/>
    <col min="20" max="20" width="29.109375" style="1" bestFit="1" customWidth="1"/>
    <col min="21" max="21" width="20.5546875" style="1" bestFit="1" customWidth="1"/>
    <col min="22" max="22" width="9.44140625" style="1" bestFit="1" customWidth="1"/>
    <col min="23" max="23" width="15.44140625" style="1" bestFit="1" customWidth="1"/>
    <col min="24" max="24" width="7" style="1" bestFit="1" customWidth="1"/>
    <col min="25" max="25" width="11.77734375" style="1" bestFit="1" customWidth="1"/>
    <col min="26" max="26" width="17.33203125" style="1" bestFit="1" customWidth="1"/>
    <col min="27" max="27" width="7" style="1" bestFit="1" customWidth="1"/>
    <col min="28" max="28" width="10.6640625" style="1" bestFit="1" customWidth="1"/>
    <col min="29" max="29" width="23.44140625" style="1" bestFit="1" customWidth="1"/>
    <col min="30" max="16384" width="8.88671875" style="1"/>
  </cols>
  <sheetData>
    <row r="1" spans="1:29" customFormat="1" ht="14.4" x14ac:dyDescent="0.3">
      <c r="A1" s="37" t="s">
        <v>0</v>
      </c>
      <c r="B1" s="37" t="s">
        <v>1</v>
      </c>
      <c r="C1" s="37" t="s">
        <v>2</v>
      </c>
      <c r="D1" s="37" t="s">
        <v>382</v>
      </c>
      <c r="E1" s="37" t="s">
        <v>383</v>
      </c>
      <c r="F1" s="37" t="s">
        <v>384</v>
      </c>
      <c r="G1" s="37" t="s">
        <v>385</v>
      </c>
      <c r="H1" s="37" t="s">
        <v>386</v>
      </c>
      <c r="I1" s="37" t="s">
        <v>3</v>
      </c>
      <c r="J1" s="37" t="s">
        <v>387</v>
      </c>
      <c r="K1" s="37" t="s">
        <v>4</v>
      </c>
      <c r="L1" s="37" t="s">
        <v>388</v>
      </c>
      <c r="M1" s="37" t="s">
        <v>389</v>
      </c>
      <c r="N1" s="37" t="s">
        <v>410</v>
      </c>
      <c r="O1" s="38" t="s">
        <v>37</v>
      </c>
      <c r="P1" s="39" t="s">
        <v>411</v>
      </c>
      <c r="Q1" s="37" t="s">
        <v>38</v>
      </c>
      <c r="R1" s="37" t="s">
        <v>390</v>
      </c>
      <c r="S1" s="37" t="s">
        <v>391</v>
      </c>
      <c r="T1" s="37" t="s">
        <v>392</v>
      </c>
      <c r="U1" s="38" t="s">
        <v>393</v>
      </c>
      <c r="V1" s="37" t="s">
        <v>394</v>
      </c>
      <c r="W1" s="37" t="s">
        <v>395</v>
      </c>
      <c r="X1" s="37" t="s">
        <v>396</v>
      </c>
      <c r="Y1" s="39" t="s">
        <v>397</v>
      </c>
      <c r="Z1" s="37" t="s">
        <v>398</v>
      </c>
      <c r="AA1" s="37" t="s">
        <v>399</v>
      </c>
      <c r="AB1" s="37" t="s">
        <v>400</v>
      </c>
      <c r="AC1" s="37" t="s">
        <v>401</v>
      </c>
    </row>
    <row r="2" spans="1:29" x14ac:dyDescent="0.25">
      <c r="A2" s="4" t="s">
        <v>409</v>
      </c>
      <c r="B2" s="5">
        <v>1</v>
      </c>
      <c r="C2" s="5">
        <v>656</v>
      </c>
      <c r="D2" s="5">
        <v>52</v>
      </c>
      <c r="E2" s="5">
        <v>1807</v>
      </c>
      <c r="F2" s="5">
        <v>2515</v>
      </c>
      <c r="G2" s="5">
        <v>37444</v>
      </c>
      <c r="H2" s="5">
        <v>39960</v>
      </c>
      <c r="I2" s="5">
        <v>83784</v>
      </c>
      <c r="J2" s="5">
        <v>11041</v>
      </c>
      <c r="K2" s="5">
        <v>24509</v>
      </c>
      <c r="L2" s="5">
        <v>119334</v>
      </c>
      <c r="M2" s="5">
        <v>156778</v>
      </c>
      <c r="N2" s="5">
        <v>42768</v>
      </c>
      <c r="O2" s="5">
        <v>2793</v>
      </c>
      <c r="P2" s="5">
        <v>14844</v>
      </c>
      <c r="Q2" s="5">
        <v>314</v>
      </c>
      <c r="R2" s="5">
        <v>5891</v>
      </c>
      <c r="S2" s="5">
        <v>41033</v>
      </c>
      <c r="T2" s="5">
        <v>92415</v>
      </c>
      <c r="U2" s="5">
        <v>14625</v>
      </c>
      <c r="V2" s="5">
        <v>33132</v>
      </c>
      <c r="W2" s="5">
        <v>247814</v>
      </c>
      <c r="X2" s="5">
        <v>407107</v>
      </c>
      <c r="Y2" s="5">
        <v>62158</v>
      </c>
      <c r="Z2" s="5">
        <v>5295</v>
      </c>
      <c r="AA2" s="5">
        <v>463970</v>
      </c>
      <c r="AB2" s="5">
        <v>13885</v>
      </c>
      <c r="AC2" s="5">
        <v>334148</v>
      </c>
    </row>
    <row r="3" spans="1:29" x14ac:dyDescent="0.25">
      <c r="A3" s="4" t="s">
        <v>381</v>
      </c>
      <c r="B3" s="5">
        <v>3401</v>
      </c>
      <c r="C3" s="5">
        <v>1672</v>
      </c>
      <c r="D3" s="5">
        <v>2183</v>
      </c>
      <c r="E3" s="5">
        <v>1732</v>
      </c>
      <c r="F3" s="5">
        <v>8988</v>
      </c>
      <c r="G3" s="5">
        <v>498</v>
      </c>
      <c r="H3" s="5">
        <v>9487</v>
      </c>
      <c r="I3" s="5">
        <v>66538</v>
      </c>
      <c r="J3" s="5">
        <v>8768</v>
      </c>
      <c r="K3" s="5">
        <v>19464</v>
      </c>
      <c r="L3" s="5">
        <v>94770</v>
      </c>
      <c r="M3" s="5">
        <v>95269</v>
      </c>
      <c r="N3" s="5">
        <v>33965</v>
      </c>
      <c r="O3" s="5">
        <v>2218</v>
      </c>
      <c r="P3" s="5">
        <v>11788</v>
      </c>
      <c r="Q3" s="5">
        <v>249</v>
      </c>
      <c r="R3" s="5">
        <v>4678</v>
      </c>
      <c r="S3" s="5">
        <v>32586</v>
      </c>
      <c r="T3" s="5">
        <v>73392</v>
      </c>
      <c r="U3" s="5">
        <v>11615</v>
      </c>
      <c r="V3" s="5">
        <v>26312</v>
      </c>
      <c r="W3" s="5">
        <v>196804</v>
      </c>
      <c r="X3" s="5">
        <v>301061</v>
      </c>
      <c r="Y3" s="5">
        <v>45966</v>
      </c>
      <c r="Z3" s="5">
        <v>3916</v>
      </c>
      <c r="AA3" s="5">
        <v>343112</v>
      </c>
      <c r="AB3" s="5">
        <v>12141</v>
      </c>
      <c r="AC3" s="5">
        <v>282600</v>
      </c>
    </row>
    <row r="4" spans="1:29" x14ac:dyDescent="0.25">
      <c r="A4" s="4" t="s">
        <v>194</v>
      </c>
      <c r="B4" s="5">
        <v>2395</v>
      </c>
      <c r="C4" s="5">
        <v>302</v>
      </c>
      <c r="D4" s="5">
        <v>1855</v>
      </c>
      <c r="E4" s="5">
        <v>514</v>
      </c>
      <c r="F4" s="5">
        <v>5066</v>
      </c>
      <c r="G4" s="5">
        <v>8603</v>
      </c>
      <c r="H4" s="5">
        <v>13669</v>
      </c>
      <c r="I4" s="5">
        <v>9411</v>
      </c>
      <c r="J4" s="5">
        <v>1240</v>
      </c>
      <c r="K4" s="5">
        <v>2753</v>
      </c>
      <c r="L4" s="5">
        <v>13405</v>
      </c>
      <c r="M4" s="5">
        <v>22007</v>
      </c>
      <c r="N4" s="5">
        <v>4804</v>
      </c>
      <c r="O4" s="5">
        <v>314</v>
      </c>
      <c r="P4" s="5">
        <v>1667</v>
      </c>
      <c r="Q4" s="5">
        <v>35</v>
      </c>
      <c r="R4" s="5">
        <v>662</v>
      </c>
      <c r="S4" s="5">
        <v>4609</v>
      </c>
      <c r="T4" s="5">
        <v>10381</v>
      </c>
      <c r="U4" s="5">
        <v>1643</v>
      </c>
      <c r="V4" s="5">
        <v>3722</v>
      </c>
      <c r="W4" s="5">
        <v>27837</v>
      </c>
      <c r="X4" s="5">
        <v>54910</v>
      </c>
      <c r="Y4" s="5">
        <v>8384</v>
      </c>
      <c r="Z4" s="5">
        <v>714</v>
      </c>
      <c r="AA4" s="5">
        <v>62580</v>
      </c>
      <c r="AB4" s="5">
        <v>2808</v>
      </c>
      <c r="AC4" s="5">
        <v>222863</v>
      </c>
    </row>
    <row r="5" spans="1:29" x14ac:dyDescent="0.25">
      <c r="A5" s="4" t="s">
        <v>195</v>
      </c>
      <c r="B5" s="5">
        <v>6831</v>
      </c>
      <c r="C5" s="5">
        <v>323</v>
      </c>
      <c r="D5" s="5">
        <v>638</v>
      </c>
      <c r="E5" s="5">
        <v>595</v>
      </c>
      <c r="F5" s="5">
        <v>8386</v>
      </c>
      <c r="G5" s="5">
        <v>545</v>
      </c>
      <c r="H5" s="5">
        <v>8931</v>
      </c>
      <c r="I5" s="5">
        <v>4315</v>
      </c>
      <c r="J5" s="5">
        <v>569</v>
      </c>
      <c r="K5" s="5">
        <v>1262</v>
      </c>
      <c r="L5" s="5">
        <v>6146</v>
      </c>
      <c r="M5" s="5">
        <v>6691</v>
      </c>
      <c r="N5" s="5">
        <v>2203</v>
      </c>
      <c r="O5" s="5">
        <v>144</v>
      </c>
      <c r="P5" s="5">
        <v>764</v>
      </c>
      <c r="Q5" s="5">
        <v>16</v>
      </c>
      <c r="R5" s="5">
        <v>303</v>
      </c>
      <c r="S5" s="5">
        <v>2113</v>
      </c>
      <c r="T5" s="5">
        <v>4759</v>
      </c>
      <c r="U5" s="5">
        <v>753</v>
      </c>
      <c r="V5" s="5">
        <v>1706</v>
      </c>
      <c r="W5" s="5">
        <v>12762</v>
      </c>
      <c r="X5" s="5">
        <v>27839</v>
      </c>
      <c r="Y5" s="5">
        <v>4251</v>
      </c>
      <c r="Z5" s="5">
        <v>362</v>
      </c>
      <c r="AA5" s="5">
        <v>31728</v>
      </c>
      <c r="AB5" s="5">
        <v>1695</v>
      </c>
      <c r="AC5" s="5">
        <v>187135</v>
      </c>
    </row>
    <row r="6" spans="1:29" x14ac:dyDescent="0.25">
      <c r="A6" s="4" t="s">
        <v>196</v>
      </c>
      <c r="B6" s="5">
        <v>5085</v>
      </c>
      <c r="C6" s="5">
        <v>237</v>
      </c>
      <c r="D6" s="5">
        <v>2014</v>
      </c>
      <c r="E6" s="5">
        <v>223</v>
      </c>
      <c r="F6" s="5">
        <v>7559</v>
      </c>
      <c r="G6" s="5">
        <v>851</v>
      </c>
      <c r="H6" s="5">
        <v>8409</v>
      </c>
      <c r="I6" s="5">
        <v>1914</v>
      </c>
      <c r="J6" s="5">
        <v>252</v>
      </c>
      <c r="K6" s="5">
        <v>560</v>
      </c>
      <c r="L6" s="5">
        <v>2726</v>
      </c>
      <c r="M6" s="5">
        <v>3576</v>
      </c>
      <c r="N6" s="5">
        <v>977</v>
      </c>
      <c r="O6" s="5">
        <v>64</v>
      </c>
      <c r="P6" s="5">
        <v>339</v>
      </c>
      <c r="Q6" s="5">
        <v>7</v>
      </c>
      <c r="R6" s="5">
        <v>135</v>
      </c>
      <c r="S6" s="5">
        <v>937</v>
      </c>
      <c r="T6" s="5">
        <v>2111</v>
      </c>
      <c r="U6" s="5">
        <v>334</v>
      </c>
      <c r="V6" s="5">
        <v>757</v>
      </c>
      <c r="W6" s="5">
        <v>5660</v>
      </c>
      <c r="X6" s="5">
        <v>16795</v>
      </c>
      <c r="Y6" s="5">
        <v>2564</v>
      </c>
      <c r="Z6" s="5">
        <v>218</v>
      </c>
      <c r="AA6" s="5">
        <v>19141</v>
      </c>
      <c r="AB6" s="5">
        <v>889</v>
      </c>
      <c r="AC6" s="5">
        <v>215207</v>
      </c>
    </row>
    <row r="7" spans="1:29" s="3" customFormat="1" x14ac:dyDescent="0.25">
      <c r="A7" s="18" t="s">
        <v>405</v>
      </c>
      <c r="B7" s="19">
        <v>17713</v>
      </c>
      <c r="C7" s="19">
        <v>3190</v>
      </c>
      <c r="D7" s="19">
        <v>6742</v>
      </c>
      <c r="E7" s="19">
        <v>4871</v>
      </c>
      <c r="F7" s="19">
        <v>32514</v>
      </c>
      <c r="G7" s="19">
        <v>47941</v>
      </c>
      <c r="H7" s="19">
        <v>80456</v>
      </c>
      <c r="I7" s="19">
        <v>165962</v>
      </c>
      <c r="J7" s="19">
        <v>21870</v>
      </c>
      <c r="K7" s="19">
        <v>48548</v>
      </c>
      <c r="L7" s="19">
        <v>236381</v>
      </c>
      <c r="M7" s="19">
        <v>284321</v>
      </c>
      <c r="N7" s="19">
        <v>84717</v>
      </c>
      <c r="O7" s="19">
        <v>5533</v>
      </c>
      <c r="P7" s="19">
        <v>29402</v>
      </c>
      <c r="Q7" s="19">
        <v>621</v>
      </c>
      <c r="R7" s="19">
        <v>11669</v>
      </c>
      <c r="S7" s="19">
        <v>81278</v>
      </c>
      <c r="T7" s="19">
        <v>183058</v>
      </c>
      <c r="U7" s="19">
        <v>28970</v>
      </c>
      <c r="V7" s="19">
        <v>65629</v>
      </c>
      <c r="W7" s="19">
        <v>490877</v>
      </c>
      <c r="X7" s="19">
        <v>807712</v>
      </c>
      <c r="Y7" s="19">
        <v>123323</v>
      </c>
      <c r="Z7" s="19">
        <v>10505</v>
      </c>
      <c r="AA7" s="19">
        <v>920531</v>
      </c>
      <c r="AB7" s="19">
        <v>31418</v>
      </c>
      <c r="AC7" s="19">
        <f>AVERAGE(AC2:AC6)</f>
        <v>248390.6</v>
      </c>
    </row>
    <row r="8" spans="1:29" x14ac:dyDescent="0.25">
      <c r="A8" s="27" t="s">
        <v>197</v>
      </c>
      <c r="B8" s="28">
        <v>14570</v>
      </c>
      <c r="C8" s="28">
        <v>2597</v>
      </c>
      <c r="D8" s="28">
        <v>615</v>
      </c>
      <c r="E8" s="28">
        <v>46</v>
      </c>
      <c r="F8" s="28">
        <v>17828</v>
      </c>
      <c r="G8" s="28">
        <v>47</v>
      </c>
      <c r="H8" s="28">
        <v>17875</v>
      </c>
      <c r="I8" s="28">
        <v>19253</v>
      </c>
      <c r="J8" s="28">
        <v>2537</v>
      </c>
      <c r="K8" s="28">
        <v>5632</v>
      </c>
      <c r="L8" s="28">
        <v>27422</v>
      </c>
      <c r="M8" s="28">
        <v>27469</v>
      </c>
      <c r="N8" s="28">
        <v>9828</v>
      </c>
      <c r="O8" s="28">
        <v>642</v>
      </c>
      <c r="P8" s="28">
        <v>3411</v>
      </c>
      <c r="Q8" s="28">
        <v>72</v>
      </c>
      <c r="R8" s="28">
        <v>1354</v>
      </c>
      <c r="S8" s="28">
        <v>9429</v>
      </c>
      <c r="T8" s="28">
        <v>21236</v>
      </c>
      <c r="U8" s="28">
        <v>3361</v>
      </c>
      <c r="V8" s="28">
        <v>7613</v>
      </c>
      <c r="W8" s="28">
        <v>56946</v>
      </c>
      <c r="X8" s="28">
        <v>102243</v>
      </c>
      <c r="Y8" s="28">
        <v>15611</v>
      </c>
      <c r="Z8" s="28">
        <v>1330</v>
      </c>
      <c r="AA8" s="28">
        <v>116523</v>
      </c>
      <c r="AB8" s="28">
        <v>6538</v>
      </c>
      <c r="AC8" s="28">
        <v>178233</v>
      </c>
    </row>
    <row r="9" spans="1:29" x14ac:dyDescent="0.25">
      <c r="A9" s="27" t="s">
        <v>198</v>
      </c>
      <c r="B9" s="28">
        <v>5001</v>
      </c>
      <c r="C9" s="28">
        <v>1025</v>
      </c>
      <c r="D9" s="28">
        <v>267</v>
      </c>
      <c r="E9" s="28">
        <v>25</v>
      </c>
      <c r="F9" s="28">
        <v>6318</v>
      </c>
      <c r="G9" s="28">
        <v>44</v>
      </c>
      <c r="H9" s="28">
        <v>6362</v>
      </c>
      <c r="I9" s="28">
        <v>4705</v>
      </c>
      <c r="J9" s="28">
        <v>620</v>
      </c>
      <c r="K9" s="28">
        <v>1376</v>
      </c>
      <c r="L9" s="28">
        <v>6701</v>
      </c>
      <c r="M9" s="28">
        <v>6745</v>
      </c>
      <c r="N9" s="28">
        <v>2402</v>
      </c>
      <c r="O9" s="28">
        <v>157</v>
      </c>
      <c r="P9" s="28">
        <v>834</v>
      </c>
      <c r="Q9" s="28">
        <v>18</v>
      </c>
      <c r="R9" s="28">
        <v>331</v>
      </c>
      <c r="S9" s="28">
        <v>2304</v>
      </c>
      <c r="T9" s="28">
        <v>5189</v>
      </c>
      <c r="U9" s="28">
        <v>821</v>
      </c>
      <c r="V9" s="28">
        <v>1860</v>
      </c>
      <c r="W9" s="28">
        <v>13916</v>
      </c>
      <c r="X9" s="28">
        <v>26978</v>
      </c>
      <c r="Y9" s="28">
        <v>4119</v>
      </c>
      <c r="Z9" s="28">
        <v>351</v>
      </c>
      <c r="AA9" s="28">
        <v>30746</v>
      </c>
      <c r="AB9" s="28">
        <v>2172</v>
      </c>
      <c r="AC9" s="28">
        <v>141584</v>
      </c>
    </row>
    <row r="10" spans="1:29" x14ac:dyDescent="0.25">
      <c r="A10" s="27" t="s">
        <v>199</v>
      </c>
      <c r="B10" s="28">
        <v>2111</v>
      </c>
      <c r="C10" s="28">
        <v>631</v>
      </c>
      <c r="D10" s="28">
        <v>192</v>
      </c>
      <c r="E10" s="28">
        <v>16</v>
      </c>
      <c r="F10" s="28">
        <v>2950</v>
      </c>
      <c r="G10" s="28">
        <v>766</v>
      </c>
      <c r="H10" s="28">
        <v>3716</v>
      </c>
      <c r="I10" s="28">
        <v>2211</v>
      </c>
      <c r="J10" s="28">
        <v>291</v>
      </c>
      <c r="K10" s="28">
        <v>647</v>
      </c>
      <c r="L10" s="28">
        <v>3149</v>
      </c>
      <c r="M10" s="28">
        <v>3915</v>
      </c>
      <c r="N10" s="28">
        <v>1128</v>
      </c>
      <c r="O10" s="28">
        <v>74</v>
      </c>
      <c r="P10" s="28">
        <v>392</v>
      </c>
      <c r="Q10" s="28">
        <v>8</v>
      </c>
      <c r="R10" s="28">
        <v>155</v>
      </c>
      <c r="S10" s="28">
        <v>1083</v>
      </c>
      <c r="T10" s="28">
        <v>2438</v>
      </c>
      <c r="U10" s="28">
        <v>386</v>
      </c>
      <c r="V10" s="28">
        <v>874</v>
      </c>
      <c r="W10" s="28">
        <v>6539</v>
      </c>
      <c r="X10" s="28">
        <v>13403</v>
      </c>
      <c r="Y10" s="28">
        <v>2046</v>
      </c>
      <c r="Z10" s="28">
        <v>174</v>
      </c>
      <c r="AA10" s="28">
        <v>15275</v>
      </c>
      <c r="AB10" s="28">
        <v>1731</v>
      </c>
      <c r="AC10" s="28">
        <v>88256</v>
      </c>
    </row>
    <row r="11" spans="1:29" x14ac:dyDescent="0.25">
      <c r="A11" s="27" t="s">
        <v>200</v>
      </c>
      <c r="B11" s="28">
        <v>8047</v>
      </c>
      <c r="C11" s="28">
        <v>1715</v>
      </c>
      <c r="D11" s="28">
        <v>489</v>
      </c>
      <c r="E11" s="28">
        <v>57</v>
      </c>
      <c r="F11" s="28">
        <v>10307</v>
      </c>
      <c r="G11" s="28">
        <v>8</v>
      </c>
      <c r="H11" s="28">
        <v>10315</v>
      </c>
      <c r="I11" s="28">
        <v>9378</v>
      </c>
      <c r="J11" s="28">
        <v>1236</v>
      </c>
      <c r="K11" s="28">
        <v>2743</v>
      </c>
      <c r="L11" s="28">
        <v>13357</v>
      </c>
      <c r="M11" s="28">
        <v>13365</v>
      </c>
      <c r="N11" s="28">
        <v>4787</v>
      </c>
      <c r="O11" s="28">
        <v>313</v>
      </c>
      <c r="P11" s="28">
        <v>1662</v>
      </c>
      <c r="Q11" s="28">
        <v>35</v>
      </c>
      <c r="R11" s="28">
        <v>659</v>
      </c>
      <c r="S11" s="28">
        <v>4593</v>
      </c>
      <c r="T11" s="28">
        <v>10344</v>
      </c>
      <c r="U11" s="28">
        <v>1637</v>
      </c>
      <c r="V11" s="28">
        <v>3709</v>
      </c>
      <c r="W11" s="28">
        <v>27739</v>
      </c>
      <c r="X11" s="28">
        <v>51411</v>
      </c>
      <c r="Y11" s="28">
        <v>7849</v>
      </c>
      <c r="Z11" s="28">
        <v>669</v>
      </c>
      <c r="AA11" s="28">
        <v>58592</v>
      </c>
      <c r="AB11" s="28">
        <v>4492</v>
      </c>
      <c r="AC11" s="28">
        <v>130436</v>
      </c>
    </row>
    <row r="12" spans="1:29" x14ac:dyDescent="0.25">
      <c r="A12" s="27" t="s">
        <v>380</v>
      </c>
      <c r="B12" s="28">
        <v>11044</v>
      </c>
      <c r="C12" s="28">
        <v>7444</v>
      </c>
      <c r="D12" s="28">
        <v>787</v>
      </c>
      <c r="E12" s="28">
        <v>20</v>
      </c>
      <c r="F12" s="28">
        <v>19296</v>
      </c>
      <c r="G12" s="28">
        <v>31</v>
      </c>
      <c r="H12" s="28">
        <v>19327</v>
      </c>
      <c r="I12" s="28">
        <v>11191</v>
      </c>
      <c r="J12" s="28">
        <v>1475</v>
      </c>
      <c r="K12" s="28">
        <v>3274</v>
      </c>
      <c r="L12" s="28">
        <v>15939</v>
      </c>
      <c r="M12" s="28">
        <v>15970</v>
      </c>
      <c r="N12" s="28">
        <v>5712</v>
      </c>
      <c r="O12" s="28">
        <v>373</v>
      </c>
      <c r="P12" s="28">
        <v>1983</v>
      </c>
      <c r="Q12" s="28">
        <v>42</v>
      </c>
      <c r="R12" s="28">
        <v>787</v>
      </c>
      <c r="S12" s="28">
        <v>5481</v>
      </c>
      <c r="T12" s="28">
        <v>12344</v>
      </c>
      <c r="U12" s="28">
        <v>1953</v>
      </c>
      <c r="V12" s="28">
        <v>4425</v>
      </c>
      <c r="W12" s="28">
        <v>33100</v>
      </c>
      <c r="X12" s="28">
        <v>68366</v>
      </c>
      <c r="Y12" s="28">
        <v>10438</v>
      </c>
      <c r="Z12" s="28">
        <v>889</v>
      </c>
      <c r="AA12" s="28">
        <v>77916</v>
      </c>
      <c r="AB12" s="28">
        <v>4783</v>
      </c>
      <c r="AC12" s="28">
        <v>162910</v>
      </c>
    </row>
    <row r="13" spans="1:29" s="3" customFormat="1" x14ac:dyDescent="0.25">
      <c r="A13" s="7" t="s">
        <v>408</v>
      </c>
      <c r="B13" s="8">
        <v>40773</v>
      </c>
      <c r="C13" s="8">
        <v>13412</v>
      </c>
      <c r="D13" s="8">
        <v>2350</v>
      </c>
      <c r="E13" s="8">
        <v>164</v>
      </c>
      <c r="F13" s="8">
        <v>56699</v>
      </c>
      <c r="G13" s="8">
        <v>896</v>
      </c>
      <c r="H13" s="8">
        <v>57595</v>
      </c>
      <c r="I13" s="8">
        <v>46738</v>
      </c>
      <c r="J13" s="8">
        <v>6159</v>
      </c>
      <c r="K13" s="8">
        <v>13672</v>
      </c>
      <c r="L13" s="8">
        <v>66568</v>
      </c>
      <c r="M13" s="8">
        <v>67464</v>
      </c>
      <c r="N13" s="8">
        <v>23857</v>
      </c>
      <c r="O13" s="8">
        <v>1559</v>
      </c>
      <c r="P13" s="8">
        <v>8282</v>
      </c>
      <c r="Q13" s="8">
        <v>175</v>
      </c>
      <c r="R13" s="8">
        <v>3286</v>
      </c>
      <c r="S13" s="8">
        <v>22890</v>
      </c>
      <c r="T13" s="8">
        <v>51551</v>
      </c>
      <c r="U13" s="8">
        <v>8158</v>
      </c>
      <c r="V13" s="8">
        <v>18481</v>
      </c>
      <c r="W13" s="8">
        <v>138240</v>
      </c>
      <c r="X13" s="8">
        <v>262401</v>
      </c>
      <c r="Y13" s="8">
        <v>40063</v>
      </c>
      <c r="Z13" s="8">
        <v>3413</v>
      </c>
      <c r="AA13" s="8">
        <v>299052</v>
      </c>
      <c r="AB13" s="8">
        <v>19716</v>
      </c>
      <c r="AC13" s="8">
        <f>AVERAGE(AC8:AC12)</f>
        <v>140283.79999999999</v>
      </c>
    </row>
    <row r="14" spans="1:29" x14ac:dyDescent="0.25">
      <c r="A14" s="9" t="s">
        <v>201</v>
      </c>
      <c r="B14" s="10">
        <v>10423</v>
      </c>
      <c r="C14" s="10">
        <v>5774</v>
      </c>
      <c r="D14" s="10">
        <v>1546</v>
      </c>
      <c r="E14" s="10">
        <v>64</v>
      </c>
      <c r="F14" s="10">
        <v>17808</v>
      </c>
      <c r="G14" s="10">
        <v>274</v>
      </c>
      <c r="H14" s="10">
        <v>18082</v>
      </c>
      <c r="I14" s="10">
        <v>50214</v>
      </c>
      <c r="J14" s="10">
        <v>6617</v>
      </c>
      <c r="K14" s="10">
        <v>14689</v>
      </c>
      <c r="L14" s="10">
        <v>71521</v>
      </c>
      <c r="M14" s="10">
        <v>71795</v>
      </c>
      <c r="N14" s="10">
        <v>25632</v>
      </c>
      <c r="O14" s="10">
        <v>1674</v>
      </c>
      <c r="P14" s="10">
        <v>8896</v>
      </c>
      <c r="Q14" s="10">
        <v>188</v>
      </c>
      <c r="R14" s="10">
        <v>3531</v>
      </c>
      <c r="S14" s="10">
        <v>24592</v>
      </c>
      <c r="T14" s="10">
        <v>55387</v>
      </c>
      <c r="U14" s="10">
        <v>8765</v>
      </c>
      <c r="V14" s="10">
        <v>19857</v>
      </c>
      <c r="W14" s="10">
        <v>148523</v>
      </c>
      <c r="X14" s="10">
        <v>238125</v>
      </c>
      <c r="Y14" s="10">
        <v>36357</v>
      </c>
      <c r="Z14" s="10">
        <v>3097</v>
      </c>
      <c r="AA14" s="10">
        <v>271385</v>
      </c>
      <c r="AB14" s="10">
        <v>10232</v>
      </c>
      <c r="AC14" s="10">
        <v>265237</v>
      </c>
    </row>
    <row r="15" spans="1:29" x14ac:dyDescent="0.25">
      <c r="A15" s="9" t="s">
        <v>202</v>
      </c>
      <c r="B15" s="10">
        <v>5184</v>
      </c>
      <c r="C15" s="10">
        <v>4001</v>
      </c>
      <c r="D15" s="10">
        <v>875</v>
      </c>
      <c r="E15" s="10">
        <v>36</v>
      </c>
      <c r="F15" s="10">
        <v>10095</v>
      </c>
      <c r="G15" s="10">
        <v>19</v>
      </c>
      <c r="H15" s="10">
        <v>10114</v>
      </c>
      <c r="I15" s="10">
        <v>8246</v>
      </c>
      <c r="J15" s="10">
        <v>1087</v>
      </c>
      <c r="K15" s="10">
        <v>2412</v>
      </c>
      <c r="L15" s="10">
        <v>11745</v>
      </c>
      <c r="M15" s="10">
        <v>11764</v>
      </c>
      <c r="N15" s="10">
        <v>4209</v>
      </c>
      <c r="O15" s="10">
        <v>275</v>
      </c>
      <c r="P15" s="10">
        <v>1461</v>
      </c>
      <c r="Q15" s="10">
        <v>31</v>
      </c>
      <c r="R15" s="10">
        <v>580</v>
      </c>
      <c r="S15" s="10">
        <v>4038</v>
      </c>
      <c r="T15" s="10">
        <v>9096</v>
      </c>
      <c r="U15" s="10">
        <v>1439</v>
      </c>
      <c r="V15" s="10">
        <v>3261</v>
      </c>
      <c r="W15" s="10">
        <v>24390</v>
      </c>
      <c r="X15" s="10">
        <v>46249</v>
      </c>
      <c r="Y15" s="10">
        <v>7061</v>
      </c>
      <c r="Z15" s="10">
        <v>602</v>
      </c>
      <c r="AA15" s="10">
        <v>52709</v>
      </c>
      <c r="AB15" s="10">
        <v>3160</v>
      </c>
      <c r="AC15" s="10">
        <v>166825</v>
      </c>
    </row>
    <row r="16" spans="1:29" x14ac:dyDescent="0.25">
      <c r="A16" s="9" t="s">
        <v>203</v>
      </c>
      <c r="B16" s="10">
        <v>5960</v>
      </c>
      <c r="C16" s="10">
        <v>3254</v>
      </c>
      <c r="D16" s="10">
        <v>1535</v>
      </c>
      <c r="E16" s="10">
        <v>30</v>
      </c>
      <c r="F16" s="10">
        <v>10779</v>
      </c>
      <c r="G16" s="10">
        <v>39</v>
      </c>
      <c r="H16" s="10">
        <v>10818</v>
      </c>
      <c r="I16" s="10">
        <v>7811</v>
      </c>
      <c r="J16" s="10">
        <v>1029</v>
      </c>
      <c r="K16" s="10">
        <v>2285</v>
      </c>
      <c r="L16" s="10">
        <v>11125</v>
      </c>
      <c r="M16" s="10">
        <v>11164</v>
      </c>
      <c r="N16" s="10">
        <v>3987</v>
      </c>
      <c r="O16" s="10">
        <v>260</v>
      </c>
      <c r="P16" s="10">
        <v>1384</v>
      </c>
      <c r="Q16" s="10">
        <v>29</v>
      </c>
      <c r="R16" s="10">
        <v>549</v>
      </c>
      <c r="S16" s="10">
        <v>3825</v>
      </c>
      <c r="T16" s="10">
        <v>8615</v>
      </c>
      <c r="U16" s="10">
        <v>1363</v>
      </c>
      <c r="V16" s="10">
        <v>3089</v>
      </c>
      <c r="W16" s="10">
        <v>23103</v>
      </c>
      <c r="X16" s="10">
        <v>45046</v>
      </c>
      <c r="Y16" s="10">
        <v>6878</v>
      </c>
      <c r="Z16" s="10">
        <v>586</v>
      </c>
      <c r="AA16" s="10">
        <v>51337</v>
      </c>
      <c r="AB16" s="10">
        <v>2983</v>
      </c>
      <c r="AC16" s="10">
        <v>172098</v>
      </c>
    </row>
    <row r="17" spans="1:29" x14ac:dyDescent="0.25">
      <c r="A17" s="9" t="s">
        <v>204</v>
      </c>
      <c r="B17" s="10">
        <v>6864</v>
      </c>
      <c r="C17" s="10">
        <v>5828</v>
      </c>
      <c r="D17" s="10">
        <v>950</v>
      </c>
      <c r="E17" s="10">
        <v>23</v>
      </c>
      <c r="F17" s="10">
        <v>13664</v>
      </c>
      <c r="G17" s="10">
        <v>145</v>
      </c>
      <c r="H17" s="10">
        <v>13809</v>
      </c>
      <c r="I17" s="10">
        <v>12716</v>
      </c>
      <c r="J17" s="10">
        <v>1676</v>
      </c>
      <c r="K17" s="10">
        <v>3720</v>
      </c>
      <c r="L17" s="10">
        <v>18112</v>
      </c>
      <c r="M17" s="10">
        <v>18256</v>
      </c>
      <c r="N17" s="10">
        <v>6491</v>
      </c>
      <c r="O17" s="10">
        <v>424</v>
      </c>
      <c r="P17" s="10">
        <v>2253</v>
      </c>
      <c r="Q17" s="10">
        <v>48</v>
      </c>
      <c r="R17" s="10">
        <v>894</v>
      </c>
      <c r="S17" s="10">
        <v>6228</v>
      </c>
      <c r="T17" s="10">
        <v>14026</v>
      </c>
      <c r="U17" s="10">
        <v>2220</v>
      </c>
      <c r="V17" s="10">
        <v>5029</v>
      </c>
      <c r="W17" s="10">
        <v>37612</v>
      </c>
      <c r="X17" s="10">
        <v>69532</v>
      </c>
      <c r="Y17" s="10">
        <v>10616</v>
      </c>
      <c r="Z17" s="10">
        <v>904</v>
      </c>
      <c r="AA17" s="10">
        <v>79244</v>
      </c>
      <c r="AB17" s="10">
        <v>4588</v>
      </c>
      <c r="AC17" s="10">
        <v>172739</v>
      </c>
    </row>
    <row r="18" spans="1:29" x14ac:dyDescent="0.25">
      <c r="A18" s="9" t="s">
        <v>205</v>
      </c>
      <c r="B18" s="10">
        <v>6495</v>
      </c>
      <c r="C18" s="10">
        <v>4329</v>
      </c>
      <c r="D18" s="10">
        <v>869</v>
      </c>
      <c r="E18" s="10">
        <v>31</v>
      </c>
      <c r="F18" s="10">
        <v>11724</v>
      </c>
      <c r="G18" s="10">
        <v>170</v>
      </c>
      <c r="H18" s="10">
        <v>11894</v>
      </c>
      <c r="I18" s="10">
        <v>13879</v>
      </c>
      <c r="J18" s="10">
        <v>1829</v>
      </c>
      <c r="K18" s="10">
        <v>4060</v>
      </c>
      <c r="L18" s="10">
        <v>19768</v>
      </c>
      <c r="M18" s="10">
        <v>19938</v>
      </c>
      <c r="N18" s="10">
        <v>7085</v>
      </c>
      <c r="O18" s="10">
        <v>463</v>
      </c>
      <c r="P18" s="10">
        <v>2459</v>
      </c>
      <c r="Q18" s="10">
        <v>52</v>
      </c>
      <c r="R18" s="10">
        <v>976</v>
      </c>
      <c r="S18" s="10">
        <v>6797</v>
      </c>
      <c r="T18" s="10">
        <v>15309</v>
      </c>
      <c r="U18" s="10">
        <v>2423</v>
      </c>
      <c r="V18" s="10">
        <v>5488</v>
      </c>
      <c r="W18" s="10">
        <v>41051</v>
      </c>
      <c r="X18" s="10">
        <v>72713</v>
      </c>
      <c r="Y18" s="10">
        <v>11102</v>
      </c>
      <c r="Z18" s="10">
        <v>946</v>
      </c>
      <c r="AA18" s="10">
        <v>82870</v>
      </c>
      <c r="AB18" s="10">
        <v>4116</v>
      </c>
      <c r="AC18" s="10">
        <v>201329</v>
      </c>
    </row>
    <row r="19" spans="1:29" s="3" customFormat="1" x14ac:dyDescent="0.25">
      <c r="A19" s="12" t="s">
        <v>404</v>
      </c>
      <c r="B19" s="13">
        <v>34926</v>
      </c>
      <c r="C19" s="13">
        <v>23186</v>
      </c>
      <c r="D19" s="13">
        <v>5775</v>
      </c>
      <c r="E19" s="13">
        <v>184</v>
      </c>
      <c r="F19" s="13">
        <v>64070</v>
      </c>
      <c r="G19" s="13">
        <v>647</v>
      </c>
      <c r="H19" s="13">
        <v>64717</v>
      </c>
      <c r="I19" s="13">
        <v>92866</v>
      </c>
      <c r="J19" s="13">
        <v>12238</v>
      </c>
      <c r="K19" s="13">
        <v>27166</v>
      </c>
      <c r="L19" s="13">
        <v>132271</v>
      </c>
      <c r="M19" s="13">
        <v>132917</v>
      </c>
      <c r="N19" s="13">
        <v>47404</v>
      </c>
      <c r="O19" s="13">
        <v>3096</v>
      </c>
      <c r="P19" s="13">
        <v>16453</v>
      </c>
      <c r="Q19" s="13">
        <v>348</v>
      </c>
      <c r="R19" s="13">
        <v>6530</v>
      </c>
      <c r="S19" s="13">
        <v>45480</v>
      </c>
      <c r="T19" s="13">
        <v>102433</v>
      </c>
      <c r="U19" s="13">
        <v>16210</v>
      </c>
      <c r="V19" s="13">
        <v>36724</v>
      </c>
      <c r="W19" s="13">
        <v>274679</v>
      </c>
      <c r="X19" s="13">
        <v>471665</v>
      </c>
      <c r="Y19" s="13">
        <v>72014</v>
      </c>
      <c r="Z19" s="13">
        <v>6135</v>
      </c>
      <c r="AA19" s="13">
        <v>537545</v>
      </c>
      <c r="AB19" s="13">
        <v>25079</v>
      </c>
      <c r="AC19" s="13">
        <f>AVERAGE(AC14:AC18)</f>
        <v>195645.6</v>
      </c>
    </row>
    <row r="20" spans="1:29" x14ac:dyDescent="0.25">
      <c r="A20" s="31" t="s">
        <v>206</v>
      </c>
      <c r="B20" s="32">
        <v>4000</v>
      </c>
      <c r="C20" s="32">
        <v>2239</v>
      </c>
      <c r="D20" s="32">
        <v>795</v>
      </c>
      <c r="E20" s="32">
        <v>32</v>
      </c>
      <c r="F20" s="32">
        <v>7067</v>
      </c>
      <c r="G20" s="32">
        <v>85</v>
      </c>
      <c r="H20" s="32">
        <v>7151</v>
      </c>
      <c r="I20" s="32">
        <v>11192</v>
      </c>
      <c r="J20" s="32">
        <v>1475</v>
      </c>
      <c r="K20" s="32">
        <v>3274</v>
      </c>
      <c r="L20" s="32">
        <v>15941</v>
      </c>
      <c r="M20" s="32">
        <v>16026</v>
      </c>
      <c r="N20" s="32">
        <v>5713</v>
      </c>
      <c r="O20" s="32">
        <v>373</v>
      </c>
      <c r="P20" s="32">
        <v>1983</v>
      </c>
      <c r="Q20" s="32">
        <v>42</v>
      </c>
      <c r="R20" s="32">
        <v>787</v>
      </c>
      <c r="S20" s="32">
        <v>5481</v>
      </c>
      <c r="T20" s="32">
        <v>12345</v>
      </c>
      <c r="U20" s="32">
        <v>1954</v>
      </c>
      <c r="V20" s="32">
        <v>4426</v>
      </c>
      <c r="W20" s="32">
        <v>33104</v>
      </c>
      <c r="X20" s="32">
        <v>56197</v>
      </c>
      <c r="Y20" s="32">
        <v>8580</v>
      </c>
      <c r="Z20" s="32">
        <v>731</v>
      </c>
      <c r="AA20" s="32">
        <v>64046</v>
      </c>
      <c r="AB20" s="32">
        <v>3966</v>
      </c>
      <c r="AC20" s="32">
        <v>161495</v>
      </c>
    </row>
    <row r="21" spans="1:29" x14ac:dyDescent="0.25">
      <c r="A21" s="31" t="s">
        <v>207</v>
      </c>
      <c r="B21" s="32">
        <v>2051</v>
      </c>
      <c r="C21" s="32">
        <v>1428</v>
      </c>
      <c r="D21" s="32">
        <v>984</v>
      </c>
      <c r="E21" s="32">
        <v>42</v>
      </c>
      <c r="F21" s="32">
        <v>4505</v>
      </c>
      <c r="G21" s="32">
        <v>782</v>
      </c>
      <c r="H21" s="32">
        <v>5286</v>
      </c>
      <c r="I21" s="32">
        <v>3448</v>
      </c>
      <c r="J21" s="32">
        <v>454</v>
      </c>
      <c r="K21" s="32">
        <v>1009</v>
      </c>
      <c r="L21" s="32">
        <v>4911</v>
      </c>
      <c r="M21" s="32">
        <v>5693</v>
      </c>
      <c r="N21" s="32">
        <v>1760</v>
      </c>
      <c r="O21" s="32">
        <v>115</v>
      </c>
      <c r="P21" s="32">
        <v>611</v>
      </c>
      <c r="Q21" s="32">
        <v>13</v>
      </c>
      <c r="R21" s="32">
        <v>242</v>
      </c>
      <c r="S21" s="32">
        <v>1689</v>
      </c>
      <c r="T21" s="32">
        <v>3803</v>
      </c>
      <c r="U21" s="32">
        <v>602</v>
      </c>
      <c r="V21" s="32">
        <v>1363</v>
      </c>
      <c r="W21" s="32">
        <v>10198</v>
      </c>
      <c r="X21" s="32">
        <v>20395</v>
      </c>
      <c r="Y21" s="32">
        <v>3114</v>
      </c>
      <c r="Z21" s="32">
        <v>265</v>
      </c>
      <c r="AA21" s="32">
        <v>23244</v>
      </c>
      <c r="AB21" s="32">
        <v>2061</v>
      </c>
      <c r="AC21" s="32">
        <v>112775</v>
      </c>
    </row>
    <row r="22" spans="1:29" x14ac:dyDescent="0.25">
      <c r="A22" s="31" t="s">
        <v>208</v>
      </c>
      <c r="B22" s="32">
        <v>2887</v>
      </c>
      <c r="C22" s="32">
        <v>748</v>
      </c>
      <c r="D22" s="32">
        <v>225</v>
      </c>
      <c r="E22" s="32">
        <v>14</v>
      </c>
      <c r="F22" s="32">
        <v>3874</v>
      </c>
      <c r="G22" s="32">
        <v>378</v>
      </c>
      <c r="H22" s="32">
        <v>4251</v>
      </c>
      <c r="I22" s="32">
        <v>3581</v>
      </c>
      <c r="J22" s="32">
        <v>472</v>
      </c>
      <c r="K22" s="32">
        <v>1048</v>
      </c>
      <c r="L22" s="32">
        <v>5100</v>
      </c>
      <c r="M22" s="32">
        <v>5478</v>
      </c>
      <c r="N22" s="32">
        <v>1828</v>
      </c>
      <c r="O22" s="32">
        <v>119</v>
      </c>
      <c r="P22" s="32">
        <v>634</v>
      </c>
      <c r="Q22" s="32">
        <v>13</v>
      </c>
      <c r="R22" s="32">
        <v>252</v>
      </c>
      <c r="S22" s="32">
        <v>1754</v>
      </c>
      <c r="T22" s="32">
        <v>3950</v>
      </c>
      <c r="U22" s="32">
        <v>625</v>
      </c>
      <c r="V22" s="32">
        <v>1416</v>
      </c>
      <c r="W22" s="32">
        <v>10592</v>
      </c>
      <c r="X22" s="32">
        <v>19943</v>
      </c>
      <c r="Y22" s="32">
        <v>3045</v>
      </c>
      <c r="Z22" s="32">
        <v>259</v>
      </c>
      <c r="AA22" s="32">
        <v>22729</v>
      </c>
      <c r="AB22" s="32">
        <v>1949</v>
      </c>
      <c r="AC22" s="32">
        <v>116630</v>
      </c>
    </row>
    <row r="23" spans="1:29" x14ac:dyDescent="0.25">
      <c r="A23" s="31" t="s">
        <v>209</v>
      </c>
      <c r="B23" s="32">
        <v>1718</v>
      </c>
      <c r="C23" s="32">
        <v>424</v>
      </c>
      <c r="D23" s="32">
        <v>135</v>
      </c>
      <c r="E23" s="32">
        <v>11</v>
      </c>
      <c r="F23" s="32">
        <v>2287</v>
      </c>
      <c r="G23" s="32">
        <v>130</v>
      </c>
      <c r="H23" s="32">
        <v>2418</v>
      </c>
      <c r="I23" s="32">
        <v>1715</v>
      </c>
      <c r="J23" s="32">
        <v>226</v>
      </c>
      <c r="K23" s="32">
        <v>502</v>
      </c>
      <c r="L23" s="32">
        <v>2443</v>
      </c>
      <c r="M23" s="32">
        <v>2573</v>
      </c>
      <c r="N23" s="32">
        <v>875</v>
      </c>
      <c r="O23" s="32">
        <v>57</v>
      </c>
      <c r="P23" s="32">
        <v>304</v>
      </c>
      <c r="Q23" s="32">
        <v>6</v>
      </c>
      <c r="R23" s="32">
        <v>121</v>
      </c>
      <c r="S23" s="32">
        <v>840</v>
      </c>
      <c r="T23" s="32">
        <v>1892</v>
      </c>
      <c r="U23" s="32">
        <v>299</v>
      </c>
      <c r="V23" s="32">
        <v>678</v>
      </c>
      <c r="W23" s="32">
        <v>5073</v>
      </c>
      <c r="X23" s="32">
        <v>9933</v>
      </c>
      <c r="Y23" s="32">
        <v>1517</v>
      </c>
      <c r="Z23" s="32">
        <v>129</v>
      </c>
      <c r="AA23" s="32">
        <v>11320</v>
      </c>
      <c r="AB23" s="32">
        <v>1235</v>
      </c>
      <c r="AC23" s="32">
        <v>91673</v>
      </c>
    </row>
    <row r="24" spans="1:29" x14ac:dyDescent="0.25">
      <c r="A24" s="31" t="s">
        <v>210</v>
      </c>
      <c r="B24" s="32">
        <v>2937</v>
      </c>
      <c r="C24" s="32">
        <v>1979</v>
      </c>
      <c r="D24" s="32">
        <v>333</v>
      </c>
      <c r="E24" s="32">
        <v>49</v>
      </c>
      <c r="F24" s="32">
        <v>5298</v>
      </c>
      <c r="G24" s="32">
        <v>18</v>
      </c>
      <c r="H24" s="32">
        <v>5315</v>
      </c>
      <c r="I24" s="32">
        <v>4836</v>
      </c>
      <c r="J24" s="32">
        <v>637</v>
      </c>
      <c r="K24" s="32">
        <v>1415</v>
      </c>
      <c r="L24" s="32">
        <v>6888</v>
      </c>
      <c r="M24" s="32">
        <v>6906</v>
      </c>
      <c r="N24" s="32">
        <v>2469</v>
      </c>
      <c r="O24" s="32">
        <v>161</v>
      </c>
      <c r="P24" s="32">
        <v>857</v>
      </c>
      <c r="Q24" s="32">
        <v>18</v>
      </c>
      <c r="R24" s="32">
        <v>340</v>
      </c>
      <c r="S24" s="32">
        <v>2368</v>
      </c>
      <c r="T24" s="32">
        <v>5334</v>
      </c>
      <c r="U24" s="32">
        <v>844</v>
      </c>
      <c r="V24" s="32">
        <v>1912</v>
      </c>
      <c r="W24" s="32">
        <v>14304</v>
      </c>
      <c r="X24" s="32">
        <v>26507</v>
      </c>
      <c r="Y24" s="32">
        <v>4047</v>
      </c>
      <c r="Z24" s="32">
        <v>345</v>
      </c>
      <c r="AA24" s="32">
        <v>30210</v>
      </c>
      <c r="AB24" s="32">
        <v>2721</v>
      </c>
      <c r="AC24" s="32">
        <v>111025</v>
      </c>
    </row>
    <row r="25" spans="1:29" x14ac:dyDescent="0.25">
      <c r="A25" s="31" t="s">
        <v>211</v>
      </c>
      <c r="B25" s="32">
        <v>3149</v>
      </c>
      <c r="C25" s="32">
        <v>1376</v>
      </c>
      <c r="D25" s="32">
        <v>726</v>
      </c>
      <c r="E25" s="32">
        <v>71</v>
      </c>
      <c r="F25" s="32">
        <v>5321</v>
      </c>
      <c r="G25" s="32">
        <v>349</v>
      </c>
      <c r="H25" s="32">
        <v>5670</v>
      </c>
      <c r="I25" s="32">
        <v>7037</v>
      </c>
      <c r="J25" s="32">
        <v>927</v>
      </c>
      <c r="K25" s="32">
        <v>2059</v>
      </c>
      <c r="L25" s="32">
        <v>10023</v>
      </c>
      <c r="M25" s="32">
        <v>10372</v>
      </c>
      <c r="N25" s="32">
        <v>3592</v>
      </c>
      <c r="O25" s="32">
        <v>235</v>
      </c>
      <c r="P25" s="32">
        <v>1247</v>
      </c>
      <c r="Q25" s="32">
        <v>26</v>
      </c>
      <c r="R25" s="32">
        <v>495</v>
      </c>
      <c r="S25" s="32">
        <v>3446</v>
      </c>
      <c r="T25" s="32">
        <v>7762</v>
      </c>
      <c r="U25" s="32">
        <v>1228</v>
      </c>
      <c r="V25" s="32">
        <v>2783</v>
      </c>
      <c r="W25" s="32">
        <v>20814</v>
      </c>
      <c r="X25" s="32">
        <v>36507</v>
      </c>
      <c r="Y25" s="32">
        <v>5574</v>
      </c>
      <c r="Z25" s="32">
        <v>475</v>
      </c>
      <c r="AA25" s="32">
        <v>41607</v>
      </c>
      <c r="AB25" s="32">
        <v>3557</v>
      </c>
      <c r="AC25" s="32">
        <v>116957</v>
      </c>
    </row>
    <row r="26" spans="1:29" x14ac:dyDescent="0.25">
      <c r="A26" s="31" t="s">
        <v>212</v>
      </c>
      <c r="B26" s="32">
        <v>2037</v>
      </c>
      <c r="C26" s="32">
        <v>1452</v>
      </c>
      <c r="D26" s="32">
        <v>320</v>
      </c>
      <c r="E26" s="32">
        <v>28</v>
      </c>
      <c r="F26" s="32">
        <v>3836</v>
      </c>
      <c r="G26" s="32">
        <v>320</v>
      </c>
      <c r="H26" s="32">
        <v>4156</v>
      </c>
      <c r="I26" s="32">
        <v>2930</v>
      </c>
      <c r="J26" s="32">
        <v>386</v>
      </c>
      <c r="K26" s="32">
        <v>857</v>
      </c>
      <c r="L26" s="32">
        <v>4173</v>
      </c>
      <c r="M26" s="32">
        <v>4493</v>
      </c>
      <c r="N26" s="32">
        <v>1496</v>
      </c>
      <c r="O26" s="32">
        <v>98</v>
      </c>
      <c r="P26" s="32">
        <v>519</v>
      </c>
      <c r="Q26" s="32">
        <v>11</v>
      </c>
      <c r="R26" s="32">
        <v>206</v>
      </c>
      <c r="S26" s="32">
        <v>1435</v>
      </c>
      <c r="T26" s="32">
        <v>3232</v>
      </c>
      <c r="U26" s="32">
        <v>511</v>
      </c>
      <c r="V26" s="32">
        <v>1159</v>
      </c>
      <c r="W26" s="32">
        <v>8666</v>
      </c>
      <c r="X26" s="32">
        <v>16996</v>
      </c>
      <c r="Y26" s="32">
        <v>2595</v>
      </c>
      <c r="Z26" s="32">
        <v>221</v>
      </c>
      <c r="AA26" s="32">
        <v>19370</v>
      </c>
      <c r="AB26" s="32">
        <v>1741</v>
      </c>
      <c r="AC26" s="32">
        <v>111265</v>
      </c>
    </row>
    <row r="27" spans="1:29" x14ac:dyDescent="0.25">
      <c r="A27" s="31" t="s">
        <v>213</v>
      </c>
      <c r="B27" s="32">
        <v>2904</v>
      </c>
      <c r="C27" s="32">
        <v>1342</v>
      </c>
      <c r="D27" s="32">
        <v>1811</v>
      </c>
      <c r="E27" s="32">
        <v>73</v>
      </c>
      <c r="F27" s="32">
        <v>6129</v>
      </c>
      <c r="G27" s="32">
        <v>73</v>
      </c>
      <c r="H27" s="32">
        <v>6202</v>
      </c>
      <c r="I27" s="32">
        <v>5282</v>
      </c>
      <c r="J27" s="32">
        <v>696</v>
      </c>
      <c r="K27" s="32">
        <v>1545</v>
      </c>
      <c r="L27" s="32">
        <v>7522</v>
      </c>
      <c r="M27" s="32">
        <v>7596</v>
      </c>
      <c r="N27" s="32">
        <v>2696</v>
      </c>
      <c r="O27" s="32">
        <v>176</v>
      </c>
      <c r="P27" s="32">
        <v>936</v>
      </c>
      <c r="Q27" s="32">
        <v>20</v>
      </c>
      <c r="R27" s="32">
        <v>371</v>
      </c>
      <c r="S27" s="32">
        <v>2587</v>
      </c>
      <c r="T27" s="32">
        <v>5826</v>
      </c>
      <c r="U27" s="32">
        <v>922</v>
      </c>
      <c r="V27" s="32">
        <v>2089</v>
      </c>
      <c r="W27" s="32">
        <v>15622</v>
      </c>
      <c r="X27" s="32">
        <v>29346</v>
      </c>
      <c r="Y27" s="32">
        <v>4481</v>
      </c>
      <c r="Z27" s="32">
        <v>382</v>
      </c>
      <c r="AA27" s="32">
        <v>33445</v>
      </c>
      <c r="AB27" s="32">
        <v>2594</v>
      </c>
      <c r="AC27" s="32">
        <v>128929</v>
      </c>
    </row>
    <row r="28" spans="1:29" s="3" customFormat="1" x14ac:dyDescent="0.25">
      <c r="A28" s="14" t="s">
        <v>403</v>
      </c>
      <c r="B28" s="15">
        <v>21683</v>
      </c>
      <c r="C28" s="15">
        <v>10988</v>
      </c>
      <c r="D28" s="15">
        <v>5329</v>
      </c>
      <c r="E28" s="15">
        <v>320</v>
      </c>
      <c r="F28" s="15">
        <v>38317</v>
      </c>
      <c r="G28" s="15">
        <v>2135</v>
      </c>
      <c r="H28" s="15">
        <v>40449</v>
      </c>
      <c r="I28" s="15">
        <v>40021</v>
      </c>
      <c r="J28" s="15">
        <v>5273</v>
      </c>
      <c r="K28" s="15">
        <v>11709</v>
      </c>
      <c r="L28" s="15">
        <v>57001</v>
      </c>
      <c r="M28" s="15">
        <v>59137</v>
      </c>
      <c r="N28" s="15">
        <v>20429</v>
      </c>
      <c r="O28" s="15">
        <v>1334</v>
      </c>
      <c r="P28" s="15">
        <v>7091</v>
      </c>
      <c r="Q28" s="15">
        <v>149</v>
      </c>
      <c r="R28" s="15">
        <v>2814</v>
      </c>
      <c r="S28" s="15">
        <v>19600</v>
      </c>
      <c r="T28" s="15">
        <v>44144</v>
      </c>
      <c r="U28" s="15">
        <v>6985</v>
      </c>
      <c r="V28" s="15">
        <v>15826</v>
      </c>
      <c r="W28" s="15">
        <v>118373</v>
      </c>
      <c r="X28" s="15">
        <v>215824</v>
      </c>
      <c r="Y28" s="15">
        <v>32953</v>
      </c>
      <c r="Z28" s="15">
        <v>2807</v>
      </c>
      <c r="AA28" s="15">
        <v>245971</v>
      </c>
      <c r="AB28" s="15">
        <v>19824</v>
      </c>
      <c r="AC28" s="15">
        <f>AVERAGE(AC20:AC27)</f>
        <v>118843.625</v>
      </c>
    </row>
    <row r="29" spans="1:29" x14ac:dyDescent="0.25">
      <c r="A29" s="34" t="s">
        <v>214</v>
      </c>
      <c r="B29" s="35">
        <v>2796</v>
      </c>
      <c r="C29" s="35">
        <v>955</v>
      </c>
      <c r="D29" s="35">
        <v>304</v>
      </c>
      <c r="E29" s="35">
        <v>29</v>
      </c>
      <c r="F29" s="35">
        <v>4084</v>
      </c>
      <c r="G29" s="35">
        <v>382</v>
      </c>
      <c r="H29" s="35">
        <v>4466</v>
      </c>
      <c r="I29" s="35">
        <v>3962</v>
      </c>
      <c r="J29" s="35">
        <v>522</v>
      </c>
      <c r="K29" s="35">
        <v>1159</v>
      </c>
      <c r="L29" s="35">
        <v>5643</v>
      </c>
      <c r="M29" s="35">
        <v>6024</v>
      </c>
      <c r="N29" s="35">
        <v>2022</v>
      </c>
      <c r="O29" s="35">
        <v>132</v>
      </c>
      <c r="P29" s="35">
        <v>702</v>
      </c>
      <c r="Q29" s="35">
        <v>15</v>
      </c>
      <c r="R29" s="35">
        <v>279</v>
      </c>
      <c r="S29" s="35">
        <v>1940</v>
      </c>
      <c r="T29" s="35">
        <v>4370</v>
      </c>
      <c r="U29" s="35">
        <v>692</v>
      </c>
      <c r="V29" s="35">
        <v>1567</v>
      </c>
      <c r="W29" s="35">
        <v>11718</v>
      </c>
      <c r="X29" s="35">
        <v>21827</v>
      </c>
      <c r="Y29" s="35">
        <v>3333</v>
      </c>
      <c r="Z29" s="35">
        <v>284</v>
      </c>
      <c r="AA29" s="35">
        <v>24875</v>
      </c>
      <c r="AB29" s="35">
        <v>2725</v>
      </c>
      <c r="AC29" s="35">
        <v>91287</v>
      </c>
    </row>
    <row r="30" spans="1:29" x14ac:dyDescent="0.25">
      <c r="A30" s="34" t="s">
        <v>215</v>
      </c>
      <c r="B30" s="35">
        <v>2650</v>
      </c>
      <c r="C30" s="35">
        <v>587</v>
      </c>
      <c r="D30" s="35">
        <v>203</v>
      </c>
      <c r="E30" s="35">
        <v>23</v>
      </c>
      <c r="F30" s="35">
        <v>3463</v>
      </c>
      <c r="G30" s="35">
        <v>285</v>
      </c>
      <c r="H30" s="35">
        <v>3748</v>
      </c>
      <c r="I30" s="35">
        <v>4470</v>
      </c>
      <c r="J30" s="35">
        <v>589</v>
      </c>
      <c r="K30" s="35">
        <v>1308</v>
      </c>
      <c r="L30" s="35">
        <v>6367</v>
      </c>
      <c r="M30" s="35">
        <v>6653</v>
      </c>
      <c r="N30" s="35">
        <v>2282</v>
      </c>
      <c r="O30" s="35">
        <v>149</v>
      </c>
      <c r="P30" s="35">
        <v>792</v>
      </c>
      <c r="Q30" s="35">
        <v>17</v>
      </c>
      <c r="R30" s="35">
        <v>314</v>
      </c>
      <c r="S30" s="35">
        <v>2189</v>
      </c>
      <c r="T30" s="35">
        <v>4931</v>
      </c>
      <c r="U30" s="35">
        <v>780</v>
      </c>
      <c r="V30" s="35">
        <v>1768</v>
      </c>
      <c r="W30" s="35">
        <v>13223</v>
      </c>
      <c r="X30" s="35">
        <v>23338</v>
      </c>
      <c r="Y30" s="35">
        <v>3563</v>
      </c>
      <c r="Z30" s="35">
        <v>304</v>
      </c>
      <c r="AA30" s="35">
        <v>26598</v>
      </c>
      <c r="AB30" s="35">
        <v>1938</v>
      </c>
      <c r="AC30" s="35">
        <v>137266</v>
      </c>
    </row>
    <row r="31" spans="1:29" x14ac:dyDescent="0.25">
      <c r="A31" s="34" t="s">
        <v>216</v>
      </c>
      <c r="B31" s="35">
        <v>1596</v>
      </c>
      <c r="C31" s="35">
        <v>549</v>
      </c>
      <c r="D31" s="35">
        <v>120</v>
      </c>
      <c r="E31" s="35">
        <v>34</v>
      </c>
      <c r="F31" s="35">
        <v>2298</v>
      </c>
      <c r="G31" s="35">
        <v>124</v>
      </c>
      <c r="H31" s="35">
        <v>2422</v>
      </c>
      <c r="I31" s="35">
        <v>1608</v>
      </c>
      <c r="J31" s="35">
        <v>212</v>
      </c>
      <c r="K31" s="35">
        <v>471</v>
      </c>
      <c r="L31" s="35">
        <v>2291</v>
      </c>
      <c r="M31" s="35">
        <v>2415</v>
      </c>
      <c r="N31" s="35">
        <v>821</v>
      </c>
      <c r="O31" s="35">
        <v>54</v>
      </c>
      <c r="P31" s="35">
        <v>285</v>
      </c>
      <c r="Q31" s="35">
        <v>6</v>
      </c>
      <c r="R31" s="35">
        <v>113</v>
      </c>
      <c r="S31" s="35">
        <v>788</v>
      </c>
      <c r="T31" s="35">
        <v>1774</v>
      </c>
      <c r="U31" s="35">
        <v>281</v>
      </c>
      <c r="V31" s="35">
        <v>636</v>
      </c>
      <c r="W31" s="35">
        <v>4758</v>
      </c>
      <c r="X31" s="35">
        <v>9471</v>
      </c>
      <c r="Y31" s="35">
        <v>1446</v>
      </c>
      <c r="Z31" s="35">
        <v>123</v>
      </c>
      <c r="AA31" s="35">
        <v>10793</v>
      </c>
      <c r="AB31" s="35">
        <v>1258</v>
      </c>
      <c r="AC31" s="35">
        <v>85798</v>
      </c>
    </row>
    <row r="32" spans="1:29" x14ac:dyDescent="0.25">
      <c r="A32" s="34" t="s">
        <v>217</v>
      </c>
      <c r="B32" s="35">
        <v>4943</v>
      </c>
      <c r="C32" s="35">
        <v>1020</v>
      </c>
      <c r="D32" s="35">
        <v>693</v>
      </c>
      <c r="E32" s="35">
        <v>46</v>
      </c>
      <c r="F32" s="35">
        <v>6701</v>
      </c>
      <c r="G32" s="35">
        <v>1371</v>
      </c>
      <c r="H32" s="35">
        <v>8072</v>
      </c>
      <c r="I32" s="35">
        <v>6133</v>
      </c>
      <c r="J32" s="35">
        <v>808</v>
      </c>
      <c r="K32" s="35">
        <v>1794</v>
      </c>
      <c r="L32" s="35">
        <v>8735</v>
      </c>
      <c r="M32" s="35">
        <v>10106</v>
      </c>
      <c r="N32" s="35">
        <v>3130</v>
      </c>
      <c r="O32" s="35">
        <v>204</v>
      </c>
      <c r="P32" s="35">
        <v>1087</v>
      </c>
      <c r="Q32" s="35">
        <v>23</v>
      </c>
      <c r="R32" s="35">
        <v>431</v>
      </c>
      <c r="S32" s="35">
        <v>3003</v>
      </c>
      <c r="T32" s="35">
        <v>6764</v>
      </c>
      <c r="U32" s="35">
        <v>1070</v>
      </c>
      <c r="V32" s="35">
        <v>2425</v>
      </c>
      <c r="W32" s="35">
        <v>18139</v>
      </c>
      <c r="X32" s="35">
        <v>34946</v>
      </c>
      <c r="Y32" s="35">
        <v>5336</v>
      </c>
      <c r="Z32" s="35">
        <v>455</v>
      </c>
      <c r="AA32" s="35">
        <v>39827</v>
      </c>
      <c r="AB32" s="35">
        <v>3077</v>
      </c>
      <c r="AC32" s="35">
        <v>129437</v>
      </c>
    </row>
    <row r="33" spans="1:29" x14ac:dyDescent="0.25">
      <c r="A33" s="34" t="s">
        <v>218</v>
      </c>
      <c r="B33" s="35">
        <v>3761</v>
      </c>
      <c r="C33" s="35">
        <v>989</v>
      </c>
      <c r="D33" s="35">
        <v>1184</v>
      </c>
      <c r="E33" s="35">
        <v>82</v>
      </c>
      <c r="F33" s="35">
        <v>6017</v>
      </c>
      <c r="G33" s="35">
        <v>1953</v>
      </c>
      <c r="H33" s="35">
        <v>7971</v>
      </c>
      <c r="I33" s="35">
        <v>4500</v>
      </c>
      <c r="J33" s="35">
        <v>593</v>
      </c>
      <c r="K33" s="35">
        <v>1316</v>
      </c>
      <c r="L33" s="35">
        <v>6409</v>
      </c>
      <c r="M33" s="35">
        <v>8363</v>
      </c>
      <c r="N33" s="35">
        <v>2297</v>
      </c>
      <c r="O33" s="35">
        <v>150</v>
      </c>
      <c r="P33" s="35">
        <v>797</v>
      </c>
      <c r="Q33" s="35">
        <v>17</v>
      </c>
      <c r="R33" s="35">
        <v>316</v>
      </c>
      <c r="S33" s="35">
        <v>2204</v>
      </c>
      <c r="T33" s="35">
        <v>4964</v>
      </c>
      <c r="U33" s="35">
        <v>786</v>
      </c>
      <c r="V33" s="35">
        <v>1780</v>
      </c>
      <c r="W33" s="35">
        <v>13310</v>
      </c>
      <c r="X33" s="35">
        <v>27690</v>
      </c>
      <c r="Y33" s="35">
        <v>4228</v>
      </c>
      <c r="Z33" s="35">
        <v>360</v>
      </c>
      <c r="AA33" s="35">
        <v>31558</v>
      </c>
      <c r="AB33" s="35">
        <v>2922</v>
      </c>
      <c r="AC33" s="35">
        <v>108008</v>
      </c>
    </row>
    <row r="34" spans="1:29" s="3" customFormat="1" x14ac:dyDescent="0.25">
      <c r="A34" s="16" t="s">
        <v>407</v>
      </c>
      <c r="B34" s="17">
        <v>15746</v>
      </c>
      <c r="C34" s="17">
        <v>4100</v>
      </c>
      <c r="D34" s="17">
        <v>2504</v>
      </c>
      <c r="E34" s="17">
        <v>214</v>
      </c>
      <c r="F34" s="17">
        <v>22563</v>
      </c>
      <c r="G34" s="17">
        <v>4115</v>
      </c>
      <c r="H34" s="17">
        <v>26679</v>
      </c>
      <c r="I34" s="17">
        <v>20673</v>
      </c>
      <c r="J34" s="17">
        <v>2724</v>
      </c>
      <c r="K34" s="17">
        <v>6048</v>
      </c>
      <c r="L34" s="17">
        <v>29445</v>
      </c>
      <c r="M34" s="17">
        <v>33561</v>
      </c>
      <c r="N34" s="17">
        <v>10552</v>
      </c>
      <c r="O34" s="17">
        <v>689</v>
      </c>
      <c r="P34" s="17">
        <v>3663</v>
      </c>
      <c r="Q34" s="17">
        <v>78</v>
      </c>
      <c r="R34" s="17">
        <v>1453</v>
      </c>
      <c r="S34" s="17">
        <v>10124</v>
      </c>
      <c r="T34" s="17">
        <v>22803</v>
      </c>
      <c r="U34" s="17">
        <v>3609</v>
      </c>
      <c r="V34" s="17">
        <v>8176</v>
      </c>
      <c r="W34" s="17">
        <v>61148</v>
      </c>
      <c r="X34" s="17">
        <v>117272</v>
      </c>
      <c r="Y34" s="17">
        <v>17906</v>
      </c>
      <c r="Z34" s="17">
        <v>1526</v>
      </c>
      <c r="AA34" s="17">
        <v>133651</v>
      </c>
      <c r="AB34" s="17">
        <v>11920</v>
      </c>
      <c r="AC34" s="17">
        <f>AVERAGE(AC29:AC33)</f>
        <v>110359.2</v>
      </c>
    </row>
    <row r="35" spans="1:29" x14ac:dyDescent="0.25">
      <c r="A35" s="20" t="s">
        <v>219</v>
      </c>
      <c r="B35" s="21">
        <v>2574</v>
      </c>
      <c r="C35" s="21">
        <v>400</v>
      </c>
      <c r="D35" s="21">
        <v>817</v>
      </c>
      <c r="E35" s="21">
        <v>37</v>
      </c>
      <c r="F35" s="21">
        <v>3828</v>
      </c>
      <c r="G35" s="21">
        <v>131</v>
      </c>
      <c r="H35" s="21">
        <v>3959</v>
      </c>
      <c r="I35" s="21">
        <v>3347</v>
      </c>
      <c r="J35" s="21">
        <v>441</v>
      </c>
      <c r="K35" s="21">
        <v>979</v>
      </c>
      <c r="L35" s="21">
        <v>4767</v>
      </c>
      <c r="M35" s="21">
        <v>4898</v>
      </c>
      <c r="N35" s="21">
        <v>1708</v>
      </c>
      <c r="O35" s="21">
        <v>112</v>
      </c>
      <c r="P35" s="21">
        <v>593</v>
      </c>
      <c r="Q35" s="21">
        <v>13</v>
      </c>
      <c r="R35" s="21">
        <v>235</v>
      </c>
      <c r="S35" s="21">
        <v>1639</v>
      </c>
      <c r="T35" s="21">
        <v>3691</v>
      </c>
      <c r="U35" s="21">
        <v>584</v>
      </c>
      <c r="V35" s="21">
        <v>1323</v>
      </c>
      <c r="W35" s="21">
        <v>9899</v>
      </c>
      <c r="X35" s="21">
        <v>18624</v>
      </c>
      <c r="Y35" s="21">
        <v>2844</v>
      </c>
      <c r="Z35" s="21">
        <v>242</v>
      </c>
      <c r="AA35" s="21">
        <v>21226</v>
      </c>
      <c r="AB35" s="21">
        <v>1382</v>
      </c>
      <c r="AC35" s="21">
        <v>153565</v>
      </c>
    </row>
    <row r="36" spans="1:29" x14ac:dyDescent="0.25">
      <c r="A36" s="20" t="s">
        <v>220</v>
      </c>
      <c r="B36" s="21">
        <v>4158</v>
      </c>
      <c r="C36" s="21">
        <v>737</v>
      </c>
      <c r="D36" s="21">
        <v>944</v>
      </c>
      <c r="E36" s="21">
        <v>93</v>
      </c>
      <c r="F36" s="21">
        <v>5933</v>
      </c>
      <c r="G36" s="21">
        <v>1247</v>
      </c>
      <c r="H36" s="21">
        <v>7180</v>
      </c>
      <c r="I36" s="21">
        <v>21922</v>
      </c>
      <c r="J36" s="21">
        <v>2889</v>
      </c>
      <c r="K36" s="21">
        <v>6413</v>
      </c>
      <c r="L36" s="21">
        <v>31223</v>
      </c>
      <c r="M36" s="21">
        <v>32470</v>
      </c>
      <c r="N36" s="21">
        <v>11190</v>
      </c>
      <c r="O36" s="21">
        <v>731</v>
      </c>
      <c r="P36" s="21">
        <v>3884</v>
      </c>
      <c r="Q36" s="21">
        <v>82</v>
      </c>
      <c r="R36" s="21">
        <v>1541</v>
      </c>
      <c r="S36" s="21">
        <v>10736</v>
      </c>
      <c r="T36" s="21">
        <v>24180</v>
      </c>
      <c r="U36" s="21">
        <v>3827</v>
      </c>
      <c r="V36" s="21">
        <v>8669</v>
      </c>
      <c r="W36" s="21">
        <v>64839</v>
      </c>
      <c r="X36" s="21">
        <v>103242</v>
      </c>
      <c r="Y36" s="21">
        <v>15763</v>
      </c>
      <c r="Z36" s="21">
        <v>1343</v>
      </c>
      <c r="AA36" s="21">
        <v>117662</v>
      </c>
      <c r="AB36" s="21">
        <v>5077</v>
      </c>
      <c r="AC36" s="21">
        <v>231778</v>
      </c>
    </row>
    <row r="37" spans="1:29" x14ac:dyDescent="0.25">
      <c r="A37" s="20" t="s">
        <v>221</v>
      </c>
      <c r="B37" s="21">
        <v>962</v>
      </c>
      <c r="C37" s="21">
        <v>461</v>
      </c>
      <c r="D37" s="21">
        <v>874</v>
      </c>
      <c r="E37" s="21">
        <v>138</v>
      </c>
      <c r="F37" s="21">
        <v>2435</v>
      </c>
      <c r="G37" s="21">
        <v>843</v>
      </c>
      <c r="H37" s="21">
        <v>3278</v>
      </c>
      <c r="I37" s="21">
        <v>2375</v>
      </c>
      <c r="J37" s="21">
        <v>313</v>
      </c>
      <c r="K37" s="21">
        <v>695</v>
      </c>
      <c r="L37" s="21">
        <v>3383</v>
      </c>
      <c r="M37" s="21">
        <v>4226</v>
      </c>
      <c r="N37" s="21">
        <v>1212</v>
      </c>
      <c r="O37" s="21">
        <v>79</v>
      </c>
      <c r="P37" s="21">
        <v>421</v>
      </c>
      <c r="Q37" s="21">
        <v>9</v>
      </c>
      <c r="R37" s="21">
        <v>167</v>
      </c>
      <c r="S37" s="21">
        <v>1163</v>
      </c>
      <c r="T37" s="21">
        <v>2620</v>
      </c>
      <c r="U37" s="21">
        <v>415</v>
      </c>
      <c r="V37" s="21">
        <v>939</v>
      </c>
      <c r="W37" s="21">
        <v>7025</v>
      </c>
      <c r="X37" s="21">
        <v>13685</v>
      </c>
      <c r="Y37" s="21">
        <v>2089</v>
      </c>
      <c r="Z37" s="21">
        <v>178</v>
      </c>
      <c r="AA37" s="21">
        <v>15596</v>
      </c>
      <c r="AB37" s="21">
        <v>1263</v>
      </c>
      <c r="AC37" s="21">
        <v>123482</v>
      </c>
    </row>
    <row r="38" spans="1:29" x14ac:dyDescent="0.25">
      <c r="A38" s="20" t="s">
        <v>222</v>
      </c>
      <c r="B38" s="21">
        <v>614</v>
      </c>
      <c r="C38" s="21">
        <v>306</v>
      </c>
      <c r="D38" s="21">
        <v>611</v>
      </c>
      <c r="E38" s="21">
        <v>53</v>
      </c>
      <c r="F38" s="21">
        <v>1585</v>
      </c>
      <c r="G38" s="21">
        <v>246</v>
      </c>
      <c r="H38" s="21">
        <v>1832</v>
      </c>
      <c r="I38" s="21">
        <v>2886</v>
      </c>
      <c r="J38" s="21">
        <v>380</v>
      </c>
      <c r="K38" s="21">
        <v>844</v>
      </c>
      <c r="L38" s="21">
        <v>4111</v>
      </c>
      <c r="M38" s="21">
        <v>4357</v>
      </c>
      <c r="N38" s="21">
        <v>1473</v>
      </c>
      <c r="O38" s="21">
        <v>96</v>
      </c>
      <c r="P38" s="21">
        <v>511</v>
      </c>
      <c r="Q38" s="21">
        <v>11</v>
      </c>
      <c r="R38" s="21">
        <v>203</v>
      </c>
      <c r="S38" s="21">
        <v>1414</v>
      </c>
      <c r="T38" s="21">
        <v>3184</v>
      </c>
      <c r="U38" s="21">
        <v>504</v>
      </c>
      <c r="V38" s="21">
        <v>1141</v>
      </c>
      <c r="W38" s="21">
        <v>8537</v>
      </c>
      <c r="X38" s="21">
        <v>14479</v>
      </c>
      <c r="Y38" s="21">
        <v>2211</v>
      </c>
      <c r="Z38" s="21">
        <v>188</v>
      </c>
      <c r="AA38" s="21">
        <v>16502</v>
      </c>
      <c r="AB38" s="21">
        <v>1389</v>
      </c>
      <c r="AC38" s="21">
        <v>118795</v>
      </c>
    </row>
    <row r="39" spans="1:29" x14ac:dyDescent="0.25">
      <c r="A39" s="20" t="s">
        <v>223</v>
      </c>
      <c r="B39" s="21">
        <v>1658</v>
      </c>
      <c r="C39" s="21">
        <v>531</v>
      </c>
      <c r="D39" s="21">
        <v>1324</v>
      </c>
      <c r="E39" s="21">
        <v>134</v>
      </c>
      <c r="F39" s="21">
        <v>3646</v>
      </c>
      <c r="G39" s="21">
        <v>3328</v>
      </c>
      <c r="H39" s="21">
        <v>6973</v>
      </c>
      <c r="I39" s="21">
        <v>5322</v>
      </c>
      <c r="J39" s="21">
        <v>701</v>
      </c>
      <c r="K39" s="21">
        <v>1557</v>
      </c>
      <c r="L39" s="21">
        <v>7580</v>
      </c>
      <c r="M39" s="21">
        <v>10908</v>
      </c>
      <c r="N39" s="21">
        <v>2717</v>
      </c>
      <c r="O39" s="21">
        <v>177</v>
      </c>
      <c r="P39" s="21">
        <v>943</v>
      </c>
      <c r="Q39" s="21">
        <v>20</v>
      </c>
      <c r="R39" s="21">
        <v>374</v>
      </c>
      <c r="S39" s="21">
        <v>2606</v>
      </c>
      <c r="T39" s="21">
        <v>5870</v>
      </c>
      <c r="U39" s="21">
        <v>929</v>
      </c>
      <c r="V39" s="21">
        <v>2105</v>
      </c>
      <c r="W39" s="21">
        <v>15742</v>
      </c>
      <c r="X39" s="21">
        <v>30296</v>
      </c>
      <c r="Y39" s="21">
        <v>4626</v>
      </c>
      <c r="Z39" s="21">
        <v>394</v>
      </c>
      <c r="AA39" s="21">
        <v>34527</v>
      </c>
      <c r="AB39" s="21">
        <v>2347</v>
      </c>
      <c r="AC39" s="21">
        <v>147120</v>
      </c>
    </row>
    <row r="40" spans="1:29" x14ac:dyDescent="0.25">
      <c r="A40" s="20" t="s">
        <v>224</v>
      </c>
      <c r="B40" s="21">
        <v>425</v>
      </c>
      <c r="C40" s="21">
        <v>434</v>
      </c>
      <c r="D40" s="21">
        <v>997</v>
      </c>
      <c r="E40" s="21">
        <v>72</v>
      </c>
      <c r="F40" s="21">
        <v>1928</v>
      </c>
      <c r="G40" s="21">
        <v>234</v>
      </c>
      <c r="H40" s="21">
        <v>2162</v>
      </c>
      <c r="I40" s="21">
        <v>1613</v>
      </c>
      <c r="J40" s="21">
        <v>213</v>
      </c>
      <c r="K40" s="21">
        <v>472</v>
      </c>
      <c r="L40" s="21">
        <v>2297</v>
      </c>
      <c r="M40" s="21">
        <v>2531</v>
      </c>
      <c r="N40" s="21">
        <v>823</v>
      </c>
      <c r="O40" s="21">
        <v>54</v>
      </c>
      <c r="P40" s="21">
        <v>286</v>
      </c>
      <c r="Q40" s="21">
        <v>6</v>
      </c>
      <c r="R40" s="21">
        <v>113</v>
      </c>
      <c r="S40" s="21">
        <v>790</v>
      </c>
      <c r="T40" s="21">
        <v>1779</v>
      </c>
      <c r="U40" s="21">
        <v>282</v>
      </c>
      <c r="V40" s="21">
        <v>638</v>
      </c>
      <c r="W40" s="21">
        <v>4770</v>
      </c>
      <c r="X40" s="21">
        <v>9229</v>
      </c>
      <c r="Y40" s="21">
        <v>1409</v>
      </c>
      <c r="Z40" s="21">
        <v>120</v>
      </c>
      <c r="AA40" s="21">
        <v>10518</v>
      </c>
      <c r="AB40" s="21">
        <v>1122</v>
      </c>
      <c r="AC40" s="21">
        <v>93763</v>
      </c>
    </row>
    <row r="41" spans="1:29" s="3" customFormat="1" x14ac:dyDescent="0.25">
      <c r="A41" s="23" t="s">
        <v>402</v>
      </c>
      <c r="B41" s="24">
        <v>10391</v>
      </c>
      <c r="C41" s="24">
        <v>2869</v>
      </c>
      <c r="D41" s="24">
        <v>5567</v>
      </c>
      <c r="E41" s="24">
        <v>527</v>
      </c>
      <c r="F41" s="24">
        <v>19355</v>
      </c>
      <c r="G41" s="24">
        <v>6029</v>
      </c>
      <c r="H41" s="24">
        <v>25384</v>
      </c>
      <c r="I41" s="24">
        <v>37465</v>
      </c>
      <c r="J41" s="24">
        <v>4937</v>
      </c>
      <c r="K41" s="24">
        <v>10960</v>
      </c>
      <c r="L41" s="24">
        <v>53361</v>
      </c>
      <c r="M41" s="24">
        <v>59390</v>
      </c>
      <c r="N41" s="24">
        <v>19123</v>
      </c>
      <c r="O41" s="24">
        <v>1249</v>
      </c>
      <c r="P41" s="24">
        <v>6638</v>
      </c>
      <c r="Q41" s="24">
        <v>141</v>
      </c>
      <c r="R41" s="24">
        <v>2633</v>
      </c>
      <c r="S41" s="24">
        <v>18348</v>
      </c>
      <c r="T41" s="24">
        <v>41324</v>
      </c>
      <c r="U41" s="24">
        <v>6541</v>
      </c>
      <c r="V41" s="24">
        <v>14815</v>
      </c>
      <c r="W41" s="24">
        <v>110812</v>
      </c>
      <c r="X41" s="24">
        <v>189555</v>
      </c>
      <c r="Y41" s="24">
        <v>28942</v>
      </c>
      <c r="Z41" s="24">
        <v>2465</v>
      </c>
      <c r="AA41" s="24">
        <v>216031</v>
      </c>
      <c r="AB41" s="24">
        <v>12580</v>
      </c>
      <c r="AC41" s="24">
        <f>AVERAGE(AC35:AC40)</f>
        <v>144750.5</v>
      </c>
    </row>
    <row r="42" spans="1:29" s="3" customFormat="1" x14ac:dyDescent="0.25">
      <c r="A42" s="25" t="s">
        <v>406</v>
      </c>
      <c r="B42" s="26">
        <v>141232</v>
      </c>
      <c r="C42" s="26">
        <v>57745</v>
      </c>
      <c r="D42" s="26">
        <v>28267</v>
      </c>
      <c r="E42" s="26">
        <v>6280</v>
      </c>
      <c r="F42" s="26">
        <v>233518</v>
      </c>
      <c r="G42" s="26">
        <v>61763</v>
      </c>
      <c r="H42" s="26">
        <v>295280</v>
      </c>
      <c r="I42" s="26">
        <v>403725</v>
      </c>
      <c r="J42" s="26">
        <v>53201</v>
      </c>
      <c r="K42" s="26">
        <v>118103</v>
      </c>
      <c r="L42" s="26">
        <v>575027</v>
      </c>
      <c r="M42" s="26">
        <v>636790</v>
      </c>
      <c r="N42" s="26">
        <v>206082</v>
      </c>
      <c r="O42" s="26">
        <v>13460</v>
      </c>
      <c r="P42" s="26">
        <v>71529</v>
      </c>
      <c r="Q42" s="26">
        <v>1512</v>
      </c>
      <c r="R42" s="26">
        <v>28385</v>
      </c>
      <c r="S42" s="26">
        <v>197720</v>
      </c>
      <c r="T42" s="26">
        <v>445313</v>
      </c>
      <c r="U42" s="26">
        <v>70473</v>
      </c>
      <c r="V42" s="26">
        <v>159651</v>
      </c>
      <c r="W42" s="26">
        <v>1194129</v>
      </c>
      <c r="X42" s="26">
        <v>2064429</v>
      </c>
      <c r="Y42" s="26">
        <v>315201</v>
      </c>
      <c r="Z42" s="26">
        <v>26851</v>
      </c>
      <c r="AA42" s="26">
        <v>2352781</v>
      </c>
      <c r="AB42" s="26">
        <v>120537</v>
      </c>
      <c r="AC42" s="26">
        <f>AVERAGE(AC41,AC34,AC28,AC13,AC7,AC19)</f>
        <v>159712.22083333333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42"/>
  <sheetViews>
    <sheetView tabSelected="1" zoomScale="122" zoomScaleNormal="122" workbookViewId="0">
      <selection activeCell="J12" sqref="J12"/>
    </sheetView>
  </sheetViews>
  <sheetFormatPr defaultRowHeight="14.4" x14ac:dyDescent="0.3"/>
  <cols>
    <col min="1" max="1" width="22.33203125" bestFit="1" customWidth="1"/>
    <col min="2" max="2" width="7.21875" bestFit="1" customWidth="1"/>
    <col min="3" max="3" width="7.88671875" customWidth="1"/>
    <col min="4" max="4" width="13.88671875" bestFit="1" customWidth="1"/>
    <col min="5" max="5" width="15.33203125" bestFit="1" customWidth="1"/>
    <col min="6" max="6" width="19.33203125" bestFit="1" customWidth="1"/>
    <col min="7" max="7" width="13.109375" bestFit="1" customWidth="1"/>
    <col min="8" max="8" width="9.44140625" bestFit="1" customWidth="1"/>
    <col min="9" max="9" width="9.77734375" bestFit="1" customWidth="1"/>
    <col min="10" max="10" width="33.6640625" bestFit="1" customWidth="1"/>
    <col min="11" max="11" width="8.6640625" bestFit="1" customWidth="1"/>
    <col min="12" max="12" width="11.33203125" bestFit="1" customWidth="1"/>
    <col min="13" max="13" width="7" bestFit="1" customWidth="1"/>
    <col min="14" max="14" width="22.88671875" bestFit="1" customWidth="1"/>
    <col min="15" max="15" width="6.21875" bestFit="1" customWidth="1"/>
    <col min="16" max="16" width="25.6640625" bestFit="1" customWidth="1"/>
    <col min="17" max="17" width="5.44140625" bestFit="1" customWidth="1"/>
    <col min="18" max="18" width="23.5546875" bestFit="1" customWidth="1"/>
    <col min="19" max="19" width="11.5546875" bestFit="1" customWidth="1"/>
    <col min="20" max="20" width="29.21875" bestFit="1" customWidth="1"/>
    <col min="21" max="21" width="20.6640625" bestFit="1" customWidth="1"/>
    <col min="22" max="22" width="9.5546875" bestFit="1" customWidth="1"/>
    <col min="23" max="23" width="15.5546875" bestFit="1" customWidth="1"/>
    <col min="24" max="24" width="8" bestFit="1" customWidth="1"/>
    <col min="25" max="25" width="11.88671875" bestFit="1" customWidth="1"/>
    <col min="26" max="26" width="17.44140625" bestFit="1" customWidth="1"/>
    <col min="27" max="27" width="8" bestFit="1" customWidth="1"/>
    <col min="28" max="28" width="10.77734375" bestFit="1" customWidth="1"/>
    <col min="29" max="29" width="23.5546875" bestFit="1" customWidth="1"/>
  </cols>
  <sheetData>
    <row r="1" spans="1:29" x14ac:dyDescent="0.3">
      <c r="A1" s="37" t="s">
        <v>0</v>
      </c>
      <c r="B1" s="37" t="s">
        <v>1</v>
      </c>
      <c r="C1" s="37" t="s">
        <v>2</v>
      </c>
      <c r="D1" s="37" t="s">
        <v>382</v>
      </c>
      <c r="E1" s="37" t="s">
        <v>383</v>
      </c>
      <c r="F1" s="37" t="s">
        <v>384</v>
      </c>
      <c r="G1" s="37" t="s">
        <v>385</v>
      </c>
      <c r="H1" s="37" t="s">
        <v>386</v>
      </c>
      <c r="I1" s="37" t="s">
        <v>3</v>
      </c>
      <c r="J1" s="37" t="s">
        <v>387</v>
      </c>
      <c r="K1" s="37" t="s">
        <v>4</v>
      </c>
      <c r="L1" s="37" t="s">
        <v>388</v>
      </c>
      <c r="M1" s="37" t="s">
        <v>389</v>
      </c>
      <c r="N1" s="37" t="s">
        <v>410</v>
      </c>
      <c r="O1" s="38" t="s">
        <v>37</v>
      </c>
      <c r="P1" s="39" t="s">
        <v>411</v>
      </c>
      <c r="Q1" s="37" t="s">
        <v>38</v>
      </c>
      <c r="R1" s="37" t="s">
        <v>390</v>
      </c>
      <c r="S1" s="37" t="s">
        <v>391</v>
      </c>
      <c r="T1" s="37" t="s">
        <v>392</v>
      </c>
      <c r="U1" s="38" t="s">
        <v>393</v>
      </c>
      <c r="V1" s="37" t="s">
        <v>394</v>
      </c>
      <c r="W1" s="37" t="s">
        <v>395</v>
      </c>
      <c r="X1" s="37" t="s">
        <v>396</v>
      </c>
      <c r="Y1" s="39" t="s">
        <v>397</v>
      </c>
      <c r="Z1" s="37" t="s">
        <v>398</v>
      </c>
      <c r="AA1" s="37" t="s">
        <v>399</v>
      </c>
      <c r="AB1" s="37" t="s">
        <v>400</v>
      </c>
      <c r="AC1" s="37" t="s">
        <v>401</v>
      </c>
    </row>
    <row r="2" spans="1:29" x14ac:dyDescent="0.3">
      <c r="A2" s="4" t="s">
        <v>409</v>
      </c>
      <c r="B2" s="5">
        <v>1</v>
      </c>
      <c r="C2" s="5">
        <v>761</v>
      </c>
      <c r="D2" s="5">
        <v>53</v>
      </c>
      <c r="E2" s="5">
        <v>1596</v>
      </c>
      <c r="F2" s="5">
        <v>2411</v>
      </c>
      <c r="G2" s="5">
        <v>36887</v>
      </c>
      <c r="H2" s="5">
        <v>39299</v>
      </c>
      <c r="I2" s="5">
        <v>83862</v>
      </c>
      <c r="J2" s="5">
        <v>11739</v>
      </c>
      <c r="K2" s="5">
        <v>28188</v>
      </c>
      <c r="L2" s="5">
        <v>123789</v>
      </c>
      <c r="M2" s="5">
        <v>160676</v>
      </c>
      <c r="N2" s="5">
        <v>50253</v>
      </c>
      <c r="O2" s="5">
        <v>2829</v>
      </c>
      <c r="P2" s="5">
        <v>15672</v>
      </c>
      <c r="Q2" s="5">
        <v>890</v>
      </c>
      <c r="R2" s="5">
        <v>6280</v>
      </c>
      <c r="S2" s="5">
        <v>47530</v>
      </c>
      <c r="T2" s="5">
        <v>102269</v>
      </c>
      <c r="U2" s="5">
        <v>16044</v>
      </c>
      <c r="V2" s="5">
        <v>36581</v>
      </c>
      <c r="W2" s="5">
        <v>278348</v>
      </c>
      <c r="X2" s="5">
        <v>441435</v>
      </c>
      <c r="Y2" s="5">
        <v>68033</v>
      </c>
      <c r="Z2" s="5">
        <v>5886</v>
      </c>
      <c r="AA2" s="5">
        <v>503582</v>
      </c>
      <c r="AB2" s="5">
        <v>14099</v>
      </c>
      <c r="AC2" s="5">
        <v>357184</v>
      </c>
    </row>
    <row r="3" spans="1:29" x14ac:dyDescent="0.3">
      <c r="A3" s="4" t="s">
        <v>381</v>
      </c>
      <c r="B3" s="5">
        <v>3443</v>
      </c>
      <c r="C3" s="5">
        <v>1790</v>
      </c>
      <c r="D3" s="5">
        <v>2607</v>
      </c>
      <c r="E3" s="5">
        <v>1427</v>
      </c>
      <c r="F3" s="5">
        <v>9266</v>
      </c>
      <c r="G3" s="5">
        <v>343</v>
      </c>
      <c r="H3" s="5">
        <v>9609</v>
      </c>
      <c r="I3" s="5">
        <v>66021</v>
      </c>
      <c r="J3" s="5">
        <v>9242</v>
      </c>
      <c r="K3" s="5">
        <v>22191</v>
      </c>
      <c r="L3" s="5">
        <v>97454</v>
      </c>
      <c r="M3" s="5">
        <v>97797</v>
      </c>
      <c r="N3" s="5">
        <v>39562</v>
      </c>
      <c r="O3" s="5">
        <v>2227</v>
      </c>
      <c r="P3" s="5">
        <v>12338</v>
      </c>
      <c r="Q3" s="5">
        <v>700</v>
      </c>
      <c r="R3" s="5">
        <v>4944</v>
      </c>
      <c r="S3" s="5">
        <v>37418</v>
      </c>
      <c r="T3" s="5">
        <v>80512</v>
      </c>
      <c r="U3" s="5">
        <v>12630</v>
      </c>
      <c r="V3" s="5">
        <v>28799</v>
      </c>
      <c r="W3" s="5">
        <v>219132</v>
      </c>
      <c r="X3" s="5">
        <v>326195</v>
      </c>
      <c r="Y3" s="5">
        <v>50272</v>
      </c>
      <c r="Z3" s="5">
        <v>4349</v>
      </c>
      <c r="AA3" s="5">
        <v>372118</v>
      </c>
      <c r="AB3" s="5">
        <v>12299</v>
      </c>
      <c r="AC3" s="5">
        <v>302571</v>
      </c>
    </row>
    <row r="4" spans="1:29" x14ac:dyDescent="0.3">
      <c r="A4" s="4" t="s">
        <v>225</v>
      </c>
      <c r="B4" s="5">
        <v>2075</v>
      </c>
      <c r="C4" s="5">
        <v>449</v>
      </c>
      <c r="D4" s="5">
        <v>2244</v>
      </c>
      <c r="E4" s="5">
        <v>536</v>
      </c>
      <c r="F4" s="5">
        <v>5303</v>
      </c>
      <c r="G4" s="5">
        <v>8484</v>
      </c>
      <c r="H4" s="5">
        <v>13787</v>
      </c>
      <c r="I4" s="5">
        <v>9510</v>
      </c>
      <c r="J4" s="5">
        <v>1331</v>
      </c>
      <c r="K4" s="5">
        <v>3196</v>
      </c>
      <c r="L4" s="5">
        <v>14037</v>
      </c>
      <c r="M4" s="5">
        <v>22522</v>
      </c>
      <c r="N4" s="5">
        <v>5699</v>
      </c>
      <c r="O4" s="5">
        <v>321</v>
      </c>
      <c r="P4" s="5">
        <v>1777</v>
      </c>
      <c r="Q4" s="5">
        <v>101</v>
      </c>
      <c r="R4" s="5">
        <v>712</v>
      </c>
      <c r="S4" s="5">
        <v>5390</v>
      </c>
      <c r="T4" s="5">
        <v>11597</v>
      </c>
      <c r="U4" s="5">
        <v>1819</v>
      </c>
      <c r="V4" s="5">
        <v>4148</v>
      </c>
      <c r="W4" s="5">
        <v>31564</v>
      </c>
      <c r="X4" s="5">
        <v>59389</v>
      </c>
      <c r="Y4" s="5">
        <v>9153</v>
      </c>
      <c r="Z4" s="5">
        <v>792</v>
      </c>
      <c r="AA4" s="5">
        <v>67750</v>
      </c>
      <c r="AB4" s="5">
        <v>2832</v>
      </c>
      <c r="AC4" s="5">
        <v>239234</v>
      </c>
    </row>
    <row r="5" spans="1:29" x14ac:dyDescent="0.3">
      <c r="A5" s="4" t="s">
        <v>226</v>
      </c>
      <c r="B5" s="5">
        <v>5194</v>
      </c>
      <c r="C5" s="5">
        <v>327</v>
      </c>
      <c r="D5" s="5">
        <v>1057</v>
      </c>
      <c r="E5" s="5">
        <v>516</v>
      </c>
      <c r="F5" s="5">
        <v>7095</v>
      </c>
      <c r="G5" s="5">
        <v>427</v>
      </c>
      <c r="H5" s="5">
        <v>7522</v>
      </c>
      <c r="I5" s="5">
        <v>4313</v>
      </c>
      <c r="J5" s="5">
        <v>604</v>
      </c>
      <c r="K5" s="5">
        <v>1450</v>
      </c>
      <c r="L5" s="5">
        <v>6366</v>
      </c>
      <c r="M5" s="5">
        <v>6794</v>
      </c>
      <c r="N5" s="5">
        <v>2584</v>
      </c>
      <c r="O5" s="5">
        <v>145</v>
      </c>
      <c r="P5" s="5">
        <v>806</v>
      </c>
      <c r="Q5" s="5">
        <v>46</v>
      </c>
      <c r="R5" s="5">
        <v>323</v>
      </c>
      <c r="S5" s="5">
        <v>2444</v>
      </c>
      <c r="T5" s="5">
        <v>5260</v>
      </c>
      <c r="U5" s="5">
        <v>825</v>
      </c>
      <c r="V5" s="5">
        <v>1881</v>
      </c>
      <c r="W5" s="5">
        <v>14315</v>
      </c>
      <c r="X5" s="5">
        <v>28203</v>
      </c>
      <c r="Y5" s="5">
        <v>4347</v>
      </c>
      <c r="Z5" s="5">
        <v>376</v>
      </c>
      <c r="AA5" s="5">
        <v>32174</v>
      </c>
      <c r="AB5" s="5">
        <v>1706</v>
      </c>
      <c r="AC5" s="5">
        <v>188603</v>
      </c>
    </row>
    <row r="6" spans="1:29" x14ac:dyDescent="0.3">
      <c r="A6" s="4" t="s">
        <v>227</v>
      </c>
      <c r="B6" s="5">
        <v>3436</v>
      </c>
      <c r="C6" s="5">
        <v>317</v>
      </c>
      <c r="D6" s="5">
        <v>2442</v>
      </c>
      <c r="E6" s="5">
        <v>245</v>
      </c>
      <c r="F6" s="5">
        <v>6441</v>
      </c>
      <c r="G6" s="5">
        <v>880</v>
      </c>
      <c r="H6" s="5">
        <v>7321</v>
      </c>
      <c r="I6" s="5">
        <v>1907</v>
      </c>
      <c r="J6" s="5">
        <v>267</v>
      </c>
      <c r="K6" s="5">
        <v>641</v>
      </c>
      <c r="L6" s="5">
        <v>2814</v>
      </c>
      <c r="M6" s="5">
        <v>3694</v>
      </c>
      <c r="N6" s="5">
        <v>1143</v>
      </c>
      <c r="O6" s="5">
        <v>64</v>
      </c>
      <c r="P6" s="5">
        <v>356</v>
      </c>
      <c r="Q6" s="5">
        <v>20</v>
      </c>
      <c r="R6" s="5">
        <v>143</v>
      </c>
      <c r="S6" s="5">
        <v>1081</v>
      </c>
      <c r="T6" s="5">
        <v>2325</v>
      </c>
      <c r="U6" s="5">
        <v>365</v>
      </c>
      <c r="V6" s="5">
        <v>832</v>
      </c>
      <c r="W6" s="5">
        <v>6328</v>
      </c>
      <c r="X6" s="5">
        <v>16464</v>
      </c>
      <c r="Y6" s="5">
        <v>2537</v>
      </c>
      <c r="Z6" s="5">
        <v>220</v>
      </c>
      <c r="AA6" s="5">
        <v>18782</v>
      </c>
      <c r="AB6" s="5">
        <v>895</v>
      </c>
      <c r="AC6" s="5">
        <v>209964</v>
      </c>
    </row>
    <row r="7" spans="1:29" s="2" customFormat="1" x14ac:dyDescent="0.3">
      <c r="A7" s="18" t="s">
        <v>405</v>
      </c>
      <c r="B7" s="19">
        <v>14149</v>
      </c>
      <c r="C7" s="19">
        <v>3644</v>
      </c>
      <c r="D7" s="19">
        <v>8403</v>
      </c>
      <c r="E7" s="19">
        <v>4320</v>
      </c>
      <c r="F7" s="19">
        <v>30516</v>
      </c>
      <c r="G7" s="19">
        <v>47021</v>
      </c>
      <c r="H7" s="19">
        <v>77538</v>
      </c>
      <c r="I7" s="19">
        <v>165613</v>
      </c>
      <c r="J7" s="19">
        <v>23183</v>
      </c>
      <c r="K7" s="19">
        <v>55666</v>
      </c>
      <c r="L7" s="19">
        <v>244460</v>
      </c>
      <c r="M7" s="19">
        <v>291483</v>
      </c>
      <c r="N7" s="19">
        <v>99241</v>
      </c>
      <c r="O7" s="19">
        <v>5586</v>
      </c>
      <c r="P7" s="19">
        <v>30949</v>
      </c>
      <c r="Q7" s="19">
        <v>1757</v>
      </c>
      <c r="R7" s="19">
        <v>12402</v>
      </c>
      <c r="S7" s="19">
        <v>93863</v>
      </c>
      <c r="T7" s="19">
        <v>201963</v>
      </c>
      <c r="U7" s="19">
        <v>31683</v>
      </c>
      <c r="V7" s="19">
        <v>72241</v>
      </c>
      <c r="W7" s="19">
        <v>549687</v>
      </c>
      <c r="X7" s="19">
        <v>871686</v>
      </c>
      <c r="Y7" s="19">
        <v>134342</v>
      </c>
      <c r="Z7" s="19">
        <v>11623</v>
      </c>
      <c r="AA7" s="19">
        <v>994406</v>
      </c>
      <c r="AB7" s="19">
        <v>31831</v>
      </c>
      <c r="AC7" s="19">
        <f>AVERAGE(AC2:AC6)</f>
        <v>259511.2</v>
      </c>
    </row>
    <row r="8" spans="1:29" x14ac:dyDescent="0.3">
      <c r="A8" s="27" t="s">
        <v>228</v>
      </c>
      <c r="B8" s="28">
        <v>10727</v>
      </c>
      <c r="C8" s="28">
        <v>3821</v>
      </c>
      <c r="D8" s="28">
        <v>636</v>
      </c>
      <c r="E8" s="28">
        <v>52</v>
      </c>
      <c r="F8" s="28">
        <v>15236</v>
      </c>
      <c r="G8" s="28">
        <v>179</v>
      </c>
      <c r="H8" s="28">
        <v>15414</v>
      </c>
      <c r="I8" s="28">
        <v>19065</v>
      </c>
      <c r="J8" s="28">
        <v>2669</v>
      </c>
      <c r="K8" s="28">
        <v>6408</v>
      </c>
      <c r="L8" s="28">
        <v>28142</v>
      </c>
      <c r="M8" s="28">
        <v>28320</v>
      </c>
      <c r="N8" s="28">
        <v>11424</v>
      </c>
      <c r="O8" s="28">
        <v>643</v>
      </c>
      <c r="P8" s="28">
        <v>3563</v>
      </c>
      <c r="Q8" s="28">
        <v>202</v>
      </c>
      <c r="R8" s="28">
        <v>1428</v>
      </c>
      <c r="S8" s="28">
        <v>10805</v>
      </c>
      <c r="T8" s="28">
        <v>23249</v>
      </c>
      <c r="U8" s="28">
        <v>3647</v>
      </c>
      <c r="V8" s="28">
        <v>8316</v>
      </c>
      <c r="W8" s="28">
        <v>63278</v>
      </c>
      <c r="X8" s="28">
        <v>106834</v>
      </c>
      <c r="Y8" s="28">
        <v>16465</v>
      </c>
      <c r="Z8" s="28">
        <v>1424</v>
      </c>
      <c r="AA8" s="28">
        <v>121875</v>
      </c>
      <c r="AB8" s="28">
        <v>6598</v>
      </c>
      <c r="AC8" s="28">
        <v>184724</v>
      </c>
    </row>
    <row r="9" spans="1:29" x14ac:dyDescent="0.3">
      <c r="A9" s="27" t="s">
        <v>229</v>
      </c>
      <c r="B9" s="28">
        <v>3459</v>
      </c>
      <c r="C9" s="28">
        <v>1152</v>
      </c>
      <c r="D9" s="28">
        <v>286</v>
      </c>
      <c r="E9" s="28">
        <v>23</v>
      </c>
      <c r="F9" s="28">
        <v>4919</v>
      </c>
      <c r="G9" s="28">
        <v>43</v>
      </c>
      <c r="H9" s="28">
        <v>4962</v>
      </c>
      <c r="I9" s="28">
        <v>4666</v>
      </c>
      <c r="J9" s="28">
        <v>653</v>
      </c>
      <c r="K9" s="28">
        <v>1568</v>
      </c>
      <c r="L9" s="28">
        <v>6888</v>
      </c>
      <c r="M9" s="28">
        <v>6931</v>
      </c>
      <c r="N9" s="28">
        <v>2796</v>
      </c>
      <c r="O9" s="28">
        <v>157</v>
      </c>
      <c r="P9" s="28">
        <v>872</v>
      </c>
      <c r="Q9" s="28">
        <v>49</v>
      </c>
      <c r="R9" s="28">
        <v>349</v>
      </c>
      <c r="S9" s="28">
        <v>2645</v>
      </c>
      <c r="T9" s="28">
        <v>5691</v>
      </c>
      <c r="U9" s="28">
        <v>893</v>
      </c>
      <c r="V9" s="28">
        <v>2036</v>
      </c>
      <c r="W9" s="28">
        <v>15488</v>
      </c>
      <c r="X9" s="28">
        <v>27338</v>
      </c>
      <c r="Y9" s="28">
        <v>4213</v>
      </c>
      <c r="Z9" s="28">
        <v>365</v>
      </c>
      <c r="AA9" s="28">
        <v>31187</v>
      </c>
      <c r="AB9" s="28">
        <v>2188</v>
      </c>
      <c r="AC9" s="28">
        <v>142543</v>
      </c>
    </row>
    <row r="10" spans="1:29" x14ac:dyDescent="0.3">
      <c r="A10" s="27" t="s">
        <v>230</v>
      </c>
      <c r="B10" s="28">
        <v>1781</v>
      </c>
      <c r="C10" s="28">
        <v>1063</v>
      </c>
      <c r="D10" s="28">
        <v>216</v>
      </c>
      <c r="E10" s="28">
        <v>24</v>
      </c>
      <c r="F10" s="28">
        <v>3083</v>
      </c>
      <c r="G10" s="28">
        <v>84</v>
      </c>
      <c r="H10" s="28">
        <v>3167</v>
      </c>
      <c r="I10" s="28">
        <v>2348</v>
      </c>
      <c r="J10" s="28">
        <v>329</v>
      </c>
      <c r="K10" s="28">
        <v>789</v>
      </c>
      <c r="L10" s="28">
        <v>3466</v>
      </c>
      <c r="M10" s="28">
        <v>3550</v>
      </c>
      <c r="N10" s="28">
        <v>1407</v>
      </c>
      <c r="O10" s="28">
        <v>79</v>
      </c>
      <c r="P10" s="28">
        <v>439</v>
      </c>
      <c r="Q10" s="28">
        <v>25</v>
      </c>
      <c r="R10" s="28">
        <v>176</v>
      </c>
      <c r="S10" s="28">
        <v>1331</v>
      </c>
      <c r="T10" s="28">
        <v>2863</v>
      </c>
      <c r="U10" s="28">
        <v>449</v>
      </c>
      <c r="V10" s="28">
        <v>1024</v>
      </c>
      <c r="W10" s="28">
        <v>7793</v>
      </c>
      <c r="X10" s="28">
        <v>14426</v>
      </c>
      <c r="Y10" s="28">
        <v>2223</v>
      </c>
      <c r="Z10" s="28">
        <v>192</v>
      </c>
      <c r="AA10" s="28">
        <v>16457</v>
      </c>
      <c r="AB10" s="28">
        <v>1742</v>
      </c>
      <c r="AC10" s="28">
        <v>94498</v>
      </c>
    </row>
    <row r="11" spans="1:29" x14ac:dyDescent="0.3">
      <c r="A11" s="27" t="s">
        <v>231</v>
      </c>
      <c r="B11" s="28">
        <v>6865</v>
      </c>
      <c r="C11" s="28">
        <v>1984</v>
      </c>
      <c r="D11" s="28">
        <v>558</v>
      </c>
      <c r="E11" s="28">
        <v>65</v>
      </c>
      <c r="F11" s="28">
        <v>9472</v>
      </c>
      <c r="G11" s="28">
        <v>334</v>
      </c>
      <c r="H11" s="28">
        <v>9806</v>
      </c>
      <c r="I11" s="28">
        <v>9232</v>
      </c>
      <c r="J11" s="28">
        <v>1292</v>
      </c>
      <c r="K11" s="28">
        <v>3103</v>
      </c>
      <c r="L11" s="28">
        <v>13627</v>
      </c>
      <c r="M11" s="28">
        <v>13961</v>
      </c>
      <c r="N11" s="28">
        <v>5532</v>
      </c>
      <c r="O11" s="28">
        <v>311</v>
      </c>
      <c r="P11" s="28">
        <v>1725</v>
      </c>
      <c r="Q11" s="28">
        <v>98</v>
      </c>
      <c r="R11" s="28">
        <v>691</v>
      </c>
      <c r="S11" s="28">
        <v>5232</v>
      </c>
      <c r="T11" s="28">
        <v>11258</v>
      </c>
      <c r="U11" s="28">
        <v>1766</v>
      </c>
      <c r="V11" s="28">
        <v>4027</v>
      </c>
      <c r="W11" s="28">
        <v>30641</v>
      </c>
      <c r="X11" s="28">
        <v>54074</v>
      </c>
      <c r="Y11" s="28">
        <v>8334</v>
      </c>
      <c r="Z11" s="28">
        <v>721</v>
      </c>
      <c r="AA11" s="28">
        <v>61687</v>
      </c>
      <c r="AB11" s="28">
        <v>4528</v>
      </c>
      <c r="AC11" s="28">
        <v>136243</v>
      </c>
    </row>
    <row r="12" spans="1:29" x14ac:dyDescent="0.3">
      <c r="A12" s="27" t="s">
        <v>380</v>
      </c>
      <c r="B12" s="28">
        <v>10891</v>
      </c>
      <c r="C12" s="28">
        <v>7466</v>
      </c>
      <c r="D12" s="28">
        <v>837</v>
      </c>
      <c r="E12" s="28">
        <v>23</v>
      </c>
      <c r="F12" s="28">
        <v>19218</v>
      </c>
      <c r="G12" s="28">
        <v>36</v>
      </c>
      <c r="H12" s="28">
        <v>19254</v>
      </c>
      <c r="I12" s="28">
        <v>11097</v>
      </c>
      <c r="J12" s="28">
        <v>1553</v>
      </c>
      <c r="K12" s="28">
        <v>3730</v>
      </c>
      <c r="L12" s="28">
        <v>16380</v>
      </c>
      <c r="M12" s="28">
        <v>16415</v>
      </c>
      <c r="N12" s="28">
        <v>6649</v>
      </c>
      <c r="O12" s="28">
        <v>374</v>
      </c>
      <c r="P12" s="28">
        <v>2074</v>
      </c>
      <c r="Q12" s="28">
        <v>118</v>
      </c>
      <c r="R12" s="28">
        <v>831</v>
      </c>
      <c r="S12" s="28">
        <v>6289</v>
      </c>
      <c r="T12" s="28">
        <v>13532</v>
      </c>
      <c r="U12" s="28">
        <v>2123</v>
      </c>
      <c r="V12" s="28">
        <v>4840</v>
      </c>
      <c r="W12" s="28">
        <v>36831</v>
      </c>
      <c r="X12" s="28">
        <v>72464</v>
      </c>
      <c r="Y12" s="28">
        <v>11168</v>
      </c>
      <c r="Z12" s="28">
        <v>966</v>
      </c>
      <c r="AA12" s="28">
        <v>82666</v>
      </c>
      <c r="AB12" s="28">
        <v>4814</v>
      </c>
      <c r="AC12" s="28">
        <v>171708</v>
      </c>
    </row>
    <row r="13" spans="1:29" s="2" customFormat="1" x14ac:dyDescent="0.3">
      <c r="A13" s="7" t="s">
        <v>408</v>
      </c>
      <c r="B13" s="8">
        <v>33723</v>
      </c>
      <c r="C13" s="8">
        <v>15486</v>
      </c>
      <c r="D13" s="8">
        <v>2533</v>
      </c>
      <c r="E13" s="8">
        <v>187</v>
      </c>
      <c r="F13" s="8">
        <v>51928</v>
      </c>
      <c r="G13" s="8">
        <v>676</v>
      </c>
      <c r="H13" s="8">
        <v>52603</v>
      </c>
      <c r="I13" s="8">
        <v>46408</v>
      </c>
      <c r="J13" s="8">
        <v>6496</v>
      </c>
      <c r="K13" s="8">
        <v>15598</v>
      </c>
      <c r="L13" s="8">
        <v>68503</v>
      </c>
      <c r="M13" s="8">
        <v>69177</v>
      </c>
      <c r="N13" s="8">
        <v>27808</v>
      </c>
      <c r="O13" s="8">
        <v>1564</v>
      </c>
      <c r="P13" s="8">
        <v>8673</v>
      </c>
      <c r="Q13" s="8">
        <v>492</v>
      </c>
      <c r="R13" s="8">
        <v>3475</v>
      </c>
      <c r="S13" s="8">
        <v>26302</v>
      </c>
      <c r="T13" s="8">
        <v>56593</v>
      </c>
      <c r="U13" s="8">
        <v>8878</v>
      </c>
      <c r="V13" s="8">
        <v>20243</v>
      </c>
      <c r="W13" s="8">
        <v>154031</v>
      </c>
      <c r="X13" s="8">
        <v>275136</v>
      </c>
      <c r="Y13" s="8">
        <v>42403</v>
      </c>
      <c r="Z13" s="8">
        <v>3668</v>
      </c>
      <c r="AA13" s="8">
        <v>313872</v>
      </c>
      <c r="AB13" s="8">
        <v>19870</v>
      </c>
      <c r="AC13" s="8">
        <f>AVERAGE(AC8:AC12)</f>
        <v>145943.20000000001</v>
      </c>
    </row>
    <row r="14" spans="1:29" x14ac:dyDescent="0.3">
      <c r="A14" s="9" t="s">
        <v>232</v>
      </c>
      <c r="B14" s="10">
        <v>9454</v>
      </c>
      <c r="C14" s="10">
        <v>6785</v>
      </c>
      <c r="D14" s="10">
        <v>1893</v>
      </c>
      <c r="E14" s="10">
        <v>68</v>
      </c>
      <c r="F14" s="10">
        <v>18199</v>
      </c>
      <c r="G14" s="10">
        <v>362</v>
      </c>
      <c r="H14" s="10">
        <v>18562</v>
      </c>
      <c r="I14" s="10">
        <v>49780</v>
      </c>
      <c r="J14" s="10">
        <v>6968</v>
      </c>
      <c r="K14" s="10">
        <v>16732</v>
      </c>
      <c r="L14" s="10">
        <v>73480</v>
      </c>
      <c r="M14" s="10">
        <v>73842</v>
      </c>
      <c r="N14" s="10">
        <v>29830</v>
      </c>
      <c r="O14" s="10">
        <v>1679</v>
      </c>
      <c r="P14" s="10">
        <v>9303</v>
      </c>
      <c r="Q14" s="10">
        <v>528</v>
      </c>
      <c r="R14" s="10">
        <v>3728</v>
      </c>
      <c r="S14" s="10">
        <v>28213</v>
      </c>
      <c r="T14" s="10">
        <v>60706</v>
      </c>
      <c r="U14" s="10">
        <v>9523</v>
      </c>
      <c r="V14" s="10">
        <v>21714</v>
      </c>
      <c r="W14" s="10">
        <v>165225</v>
      </c>
      <c r="X14" s="10">
        <v>257266</v>
      </c>
      <c r="Y14" s="10">
        <v>39649</v>
      </c>
      <c r="Z14" s="10">
        <v>3430</v>
      </c>
      <c r="AA14" s="10">
        <v>293485</v>
      </c>
      <c r="AB14" s="10">
        <v>10347</v>
      </c>
      <c r="AC14" s="10">
        <v>283653</v>
      </c>
    </row>
    <row r="15" spans="1:29" x14ac:dyDescent="0.3">
      <c r="A15" s="9" t="s">
        <v>233</v>
      </c>
      <c r="B15" s="10">
        <v>4698</v>
      </c>
      <c r="C15" s="10">
        <v>4240</v>
      </c>
      <c r="D15" s="10">
        <v>1034</v>
      </c>
      <c r="E15" s="10">
        <v>36</v>
      </c>
      <c r="F15" s="10">
        <v>10009</v>
      </c>
      <c r="G15" s="10">
        <v>42</v>
      </c>
      <c r="H15" s="10">
        <v>10051</v>
      </c>
      <c r="I15" s="10">
        <v>8172</v>
      </c>
      <c r="J15" s="10">
        <v>1144</v>
      </c>
      <c r="K15" s="10">
        <v>2747</v>
      </c>
      <c r="L15" s="10">
        <v>12063</v>
      </c>
      <c r="M15" s="10">
        <v>12105</v>
      </c>
      <c r="N15" s="10">
        <v>4897</v>
      </c>
      <c r="O15" s="10">
        <v>276</v>
      </c>
      <c r="P15" s="10">
        <v>1527</v>
      </c>
      <c r="Q15" s="10">
        <v>87</v>
      </c>
      <c r="R15" s="10">
        <v>612</v>
      </c>
      <c r="S15" s="10">
        <v>4632</v>
      </c>
      <c r="T15" s="10">
        <v>9966</v>
      </c>
      <c r="U15" s="10">
        <v>1563</v>
      </c>
      <c r="V15" s="10">
        <v>3565</v>
      </c>
      <c r="W15" s="10">
        <v>27125</v>
      </c>
      <c r="X15" s="10">
        <v>49239</v>
      </c>
      <c r="Y15" s="10">
        <v>7589</v>
      </c>
      <c r="Z15" s="10">
        <v>657</v>
      </c>
      <c r="AA15" s="10">
        <v>56172</v>
      </c>
      <c r="AB15" s="10">
        <v>3180</v>
      </c>
      <c r="AC15" s="10">
        <v>176641</v>
      </c>
    </row>
    <row r="16" spans="1:29" x14ac:dyDescent="0.3">
      <c r="A16" s="9" t="s">
        <v>234</v>
      </c>
      <c r="B16" s="10">
        <v>6035</v>
      </c>
      <c r="C16" s="10">
        <v>4299</v>
      </c>
      <c r="D16" s="10">
        <v>1803</v>
      </c>
      <c r="E16" s="10">
        <v>28</v>
      </c>
      <c r="F16" s="10">
        <v>12166</v>
      </c>
      <c r="G16" s="10">
        <v>45</v>
      </c>
      <c r="H16" s="10">
        <v>12211</v>
      </c>
      <c r="I16" s="10">
        <v>7745</v>
      </c>
      <c r="J16" s="10">
        <v>1084</v>
      </c>
      <c r="K16" s="10">
        <v>2603</v>
      </c>
      <c r="L16" s="10">
        <v>11432</v>
      </c>
      <c r="M16" s="10">
        <v>11477</v>
      </c>
      <c r="N16" s="10">
        <v>4641</v>
      </c>
      <c r="O16" s="10">
        <v>261</v>
      </c>
      <c r="P16" s="10">
        <v>1447</v>
      </c>
      <c r="Q16" s="10">
        <v>82</v>
      </c>
      <c r="R16" s="10">
        <v>580</v>
      </c>
      <c r="S16" s="10">
        <v>4389</v>
      </c>
      <c r="T16" s="10">
        <v>9445</v>
      </c>
      <c r="U16" s="10">
        <v>1482</v>
      </c>
      <c r="V16" s="10">
        <v>3378</v>
      </c>
      <c r="W16" s="10">
        <v>25705</v>
      </c>
      <c r="X16" s="10">
        <v>49348</v>
      </c>
      <c r="Y16" s="10">
        <v>7605</v>
      </c>
      <c r="Z16" s="10">
        <v>658</v>
      </c>
      <c r="AA16" s="10">
        <v>56295</v>
      </c>
      <c r="AB16" s="10">
        <v>3005</v>
      </c>
      <c r="AC16" s="10">
        <v>187364</v>
      </c>
    </row>
    <row r="17" spans="1:29" x14ac:dyDescent="0.3">
      <c r="A17" s="9" t="s">
        <v>235</v>
      </c>
      <c r="B17" s="10">
        <v>5736</v>
      </c>
      <c r="C17" s="10">
        <v>5187</v>
      </c>
      <c r="D17" s="10">
        <v>1094</v>
      </c>
      <c r="E17" s="10">
        <v>17</v>
      </c>
      <c r="F17" s="10">
        <v>12033</v>
      </c>
      <c r="G17" s="10">
        <v>55</v>
      </c>
      <c r="H17" s="10">
        <v>12088</v>
      </c>
      <c r="I17" s="10">
        <v>12631</v>
      </c>
      <c r="J17" s="10">
        <v>1768</v>
      </c>
      <c r="K17" s="10">
        <v>4245</v>
      </c>
      <c r="L17" s="10">
        <v>18644</v>
      </c>
      <c r="M17" s="10">
        <v>18699</v>
      </c>
      <c r="N17" s="10">
        <v>7569</v>
      </c>
      <c r="O17" s="10">
        <v>426</v>
      </c>
      <c r="P17" s="10">
        <v>2361</v>
      </c>
      <c r="Q17" s="10">
        <v>134</v>
      </c>
      <c r="R17" s="10">
        <v>946</v>
      </c>
      <c r="S17" s="10">
        <v>7159</v>
      </c>
      <c r="T17" s="10">
        <v>15403</v>
      </c>
      <c r="U17" s="10">
        <v>2416</v>
      </c>
      <c r="V17" s="10">
        <v>5510</v>
      </c>
      <c r="W17" s="10">
        <v>41923</v>
      </c>
      <c r="X17" s="10">
        <v>72656</v>
      </c>
      <c r="Y17" s="10">
        <v>11198</v>
      </c>
      <c r="Z17" s="10">
        <v>969</v>
      </c>
      <c r="AA17" s="10">
        <v>82885</v>
      </c>
      <c r="AB17" s="10">
        <v>4624</v>
      </c>
      <c r="AC17" s="10">
        <v>179236</v>
      </c>
    </row>
    <row r="18" spans="1:29" x14ac:dyDescent="0.3">
      <c r="A18" s="9" t="s">
        <v>236</v>
      </c>
      <c r="B18" s="10">
        <v>5427</v>
      </c>
      <c r="C18" s="10">
        <v>4661</v>
      </c>
      <c r="D18" s="10">
        <v>993</v>
      </c>
      <c r="E18" s="10">
        <v>34</v>
      </c>
      <c r="F18" s="10">
        <v>11115</v>
      </c>
      <c r="G18" s="10">
        <v>189</v>
      </c>
      <c r="H18" s="10">
        <v>11304</v>
      </c>
      <c r="I18" s="10">
        <v>13762</v>
      </c>
      <c r="J18" s="10">
        <v>1926</v>
      </c>
      <c r="K18" s="10">
        <v>4626</v>
      </c>
      <c r="L18" s="10">
        <v>20314</v>
      </c>
      <c r="M18" s="10">
        <v>20502</v>
      </c>
      <c r="N18" s="10">
        <v>8247</v>
      </c>
      <c r="O18" s="10">
        <v>464</v>
      </c>
      <c r="P18" s="10">
        <v>2572</v>
      </c>
      <c r="Q18" s="10">
        <v>146</v>
      </c>
      <c r="R18" s="10">
        <v>1030</v>
      </c>
      <c r="S18" s="10">
        <v>7800</v>
      </c>
      <c r="T18" s="10">
        <v>16782</v>
      </c>
      <c r="U18" s="10">
        <v>2633</v>
      </c>
      <c r="V18" s="10">
        <v>6003</v>
      </c>
      <c r="W18" s="10">
        <v>45677</v>
      </c>
      <c r="X18" s="10">
        <v>77295</v>
      </c>
      <c r="Y18" s="10">
        <v>11912</v>
      </c>
      <c r="Z18" s="10">
        <v>1031</v>
      </c>
      <c r="AA18" s="10">
        <v>88176</v>
      </c>
      <c r="AB18" s="10">
        <v>4149</v>
      </c>
      <c r="AC18" s="10">
        <v>212533</v>
      </c>
    </row>
    <row r="19" spans="1:29" s="2" customFormat="1" x14ac:dyDescent="0.3">
      <c r="A19" s="12" t="s">
        <v>404</v>
      </c>
      <c r="B19" s="13">
        <v>31350</v>
      </c>
      <c r="C19" s="13">
        <v>25172</v>
      </c>
      <c r="D19" s="13">
        <v>6817</v>
      </c>
      <c r="E19" s="13">
        <v>183</v>
      </c>
      <c r="F19" s="13">
        <v>63522</v>
      </c>
      <c r="G19" s="13">
        <v>693</v>
      </c>
      <c r="H19" s="13">
        <v>64216</v>
      </c>
      <c r="I19" s="13">
        <v>92090</v>
      </c>
      <c r="J19" s="13">
        <v>12890</v>
      </c>
      <c r="K19" s="13">
        <v>30953</v>
      </c>
      <c r="L19" s="13">
        <v>135933</v>
      </c>
      <c r="M19" s="13">
        <v>136625</v>
      </c>
      <c r="N19" s="13">
        <v>55184</v>
      </c>
      <c r="O19" s="13">
        <v>3106</v>
      </c>
      <c r="P19" s="13">
        <v>17210</v>
      </c>
      <c r="Q19" s="13">
        <v>977</v>
      </c>
      <c r="R19" s="13">
        <v>6896</v>
      </c>
      <c r="S19" s="13">
        <v>52193</v>
      </c>
      <c r="T19" s="13">
        <v>112302</v>
      </c>
      <c r="U19" s="13">
        <v>17617</v>
      </c>
      <c r="V19" s="13">
        <v>40170</v>
      </c>
      <c r="W19" s="13">
        <v>305655</v>
      </c>
      <c r="X19" s="13">
        <v>505804</v>
      </c>
      <c r="Y19" s="13">
        <v>77953</v>
      </c>
      <c r="Z19" s="13">
        <v>6745</v>
      </c>
      <c r="AA19" s="13">
        <v>577013</v>
      </c>
      <c r="AB19" s="13">
        <v>25305</v>
      </c>
      <c r="AC19" s="13">
        <f>AVERAGE(AC14:AC18)</f>
        <v>207885.4</v>
      </c>
    </row>
    <row r="20" spans="1:29" x14ac:dyDescent="0.3">
      <c r="A20" s="31" t="s">
        <v>237</v>
      </c>
      <c r="B20" s="32">
        <v>3265</v>
      </c>
      <c r="C20" s="32">
        <v>2516</v>
      </c>
      <c r="D20" s="32">
        <v>926</v>
      </c>
      <c r="E20" s="32">
        <v>27</v>
      </c>
      <c r="F20" s="32">
        <v>6735</v>
      </c>
      <c r="G20" s="32">
        <v>267</v>
      </c>
      <c r="H20" s="32">
        <v>7002</v>
      </c>
      <c r="I20" s="32">
        <v>11062</v>
      </c>
      <c r="J20" s="32">
        <v>1548</v>
      </c>
      <c r="K20" s="32">
        <v>3718</v>
      </c>
      <c r="L20" s="32">
        <v>16328</v>
      </c>
      <c r="M20" s="32">
        <v>16596</v>
      </c>
      <c r="N20" s="32">
        <v>6629</v>
      </c>
      <c r="O20" s="32">
        <v>373</v>
      </c>
      <c r="P20" s="32">
        <v>2067</v>
      </c>
      <c r="Q20" s="32">
        <v>117</v>
      </c>
      <c r="R20" s="32">
        <v>828</v>
      </c>
      <c r="S20" s="32">
        <v>6269</v>
      </c>
      <c r="T20" s="32">
        <v>13490</v>
      </c>
      <c r="U20" s="32">
        <v>2116</v>
      </c>
      <c r="V20" s="32">
        <v>4825</v>
      </c>
      <c r="W20" s="32">
        <v>36715</v>
      </c>
      <c r="X20" s="32">
        <v>60046</v>
      </c>
      <c r="Y20" s="32">
        <v>9254</v>
      </c>
      <c r="Z20" s="32">
        <v>801</v>
      </c>
      <c r="AA20" s="32">
        <v>68499</v>
      </c>
      <c r="AB20" s="32">
        <v>4003</v>
      </c>
      <c r="AC20" s="32">
        <v>171130</v>
      </c>
    </row>
    <row r="21" spans="1:29" x14ac:dyDescent="0.3">
      <c r="A21" s="31" t="s">
        <v>238</v>
      </c>
      <c r="B21" s="32">
        <v>2210</v>
      </c>
      <c r="C21" s="32">
        <v>705</v>
      </c>
      <c r="D21" s="32">
        <v>1175</v>
      </c>
      <c r="E21" s="32">
        <v>11</v>
      </c>
      <c r="F21" s="32">
        <v>4102</v>
      </c>
      <c r="G21" s="32">
        <v>2290</v>
      </c>
      <c r="H21" s="32">
        <v>6392</v>
      </c>
      <c r="I21" s="32">
        <v>3118</v>
      </c>
      <c r="J21" s="32">
        <v>437</v>
      </c>
      <c r="K21" s="32">
        <v>1048</v>
      </c>
      <c r="L21" s="32">
        <v>4603</v>
      </c>
      <c r="M21" s="32">
        <v>6893</v>
      </c>
      <c r="N21" s="32">
        <v>1869</v>
      </c>
      <c r="O21" s="32">
        <v>105</v>
      </c>
      <c r="P21" s="32">
        <v>583</v>
      </c>
      <c r="Q21" s="32">
        <v>33</v>
      </c>
      <c r="R21" s="32">
        <v>233</v>
      </c>
      <c r="S21" s="32">
        <v>1767</v>
      </c>
      <c r="T21" s="32">
        <v>3803</v>
      </c>
      <c r="U21" s="32">
        <v>597</v>
      </c>
      <c r="V21" s="32">
        <v>1360</v>
      </c>
      <c r="W21" s="32">
        <v>10350</v>
      </c>
      <c r="X21" s="32">
        <v>21345</v>
      </c>
      <c r="Y21" s="32">
        <v>3290</v>
      </c>
      <c r="Z21" s="32">
        <v>285</v>
      </c>
      <c r="AA21" s="32">
        <v>24350</v>
      </c>
      <c r="AB21" s="32">
        <v>2074</v>
      </c>
      <c r="AC21" s="32">
        <v>117376</v>
      </c>
    </row>
    <row r="22" spans="1:29" x14ac:dyDescent="0.3">
      <c r="A22" s="31" t="s">
        <v>239</v>
      </c>
      <c r="B22" s="32">
        <v>2725</v>
      </c>
      <c r="C22" s="32">
        <v>617</v>
      </c>
      <c r="D22" s="32">
        <v>254</v>
      </c>
      <c r="E22" s="32">
        <v>14</v>
      </c>
      <c r="F22" s="32">
        <v>3610</v>
      </c>
      <c r="G22" s="32">
        <v>433</v>
      </c>
      <c r="H22" s="32">
        <v>4043</v>
      </c>
      <c r="I22" s="32">
        <v>3546</v>
      </c>
      <c r="J22" s="32">
        <v>496</v>
      </c>
      <c r="K22" s="32">
        <v>1192</v>
      </c>
      <c r="L22" s="32">
        <v>5234</v>
      </c>
      <c r="M22" s="32">
        <v>5668</v>
      </c>
      <c r="N22" s="32">
        <v>2125</v>
      </c>
      <c r="O22" s="32">
        <v>120</v>
      </c>
      <c r="P22" s="32">
        <v>663</v>
      </c>
      <c r="Q22" s="32">
        <v>38</v>
      </c>
      <c r="R22" s="32">
        <v>266</v>
      </c>
      <c r="S22" s="32">
        <v>2010</v>
      </c>
      <c r="T22" s="32">
        <v>4324</v>
      </c>
      <c r="U22" s="32">
        <v>678</v>
      </c>
      <c r="V22" s="32">
        <v>1547</v>
      </c>
      <c r="W22" s="32">
        <v>11770</v>
      </c>
      <c r="X22" s="32">
        <v>21047</v>
      </c>
      <c r="Y22" s="32">
        <v>3244</v>
      </c>
      <c r="Z22" s="32">
        <v>281</v>
      </c>
      <c r="AA22" s="32">
        <v>24011</v>
      </c>
      <c r="AB22" s="32">
        <v>1964</v>
      </c>
      <c r="AC22" s="32">
        <v>122244</v>
      </c>
    </row>
    <row r="23" spans="1:29" x14ac:dyDescent="0.3">
      <c r="A23" s="31" t="s">
        <v>240</v>
      </c>
      <c r="B23" s="32">
        <v>1861</v>
      </c>
      <c r="C23" s="32">
        <v>450</v>
      </c>
      <c r="D23" s="32">
        <v>123</v>
      </c>
      <c r="E23" s="32">
        <v>13</v>
      </c>
      <c r="F23" s="32">
        <v>2448</v>
      </c>
      <c r="G23" s="32">
        <v>35</v>
      </c>
      <c r="H23" s="32">
        <v>2483</v>
      </c>
      <c r="I23" s="32">
        <v>1723</v>
      </c>
      <c r="J23" s="32">
        <v>241</v>
      </c>
      <c r="K23" s="32">
        <v>579</v>
      </c>
      <c r="L23" s="32">
        <v>2543</v>
      </c>
      <c r="M23" s="32">
        <v>2578</v>
      </c>
      <c r="N23" s="32">
        <v>1032</v>
      </c>
      <c r="O23" s="32">
        <v>58</v>
      </c>
      <c r="P23" s="32">
        <v>322</v>
      </c>
      <c r="Q23" s="32">
        <v>18</v>
      </c>
      <c r="R23" s="32">
        <v>129</v>
      </c>
      <c r="S23" s="32">
        <v>976</v>
      </c>
      <c r="T23" s="32">
        <v>2101</v>
      </c>
      <c r="U23" s="32">
        <v>330</v>
      </c>
      <c r="V23" s="32">
        <v>751</v>
      </c>
      <c r="W23" s="32">
        <v>5718</v>
      </c>
      <c r="X23" s="32">
        <v>10744</v>
      </c>
      <c r="Y23" s="32">
        <v>1656</v>
      </c>
      <c r="Z23" s="32">
        <v>143</v>
      </c>
      <c r="AA23" s="32">
        <v>12257</v>
      </c>
      <c r="AB23" s="32">
        <v>1242</v>
      </c>
      <c r="AC23" s="32">
        <v>98661</v>
      </c>
    </row>
    <row r="24" spans="1:29" x14ac:dyDescent="0.3">
      <c r="A24" s="31" t="s">
        <v>241</v>
      </c>
      <c r="B24" s="32">
        <v>1082</v>
      </c>
      <c r="C24" s="32">
        <v>1661</v>
      </c>
      <c r="D24" s="32">
        <v>359</v>
      </c>
      <c r="E24" s="32">
        <v>40</v>
      </c>
      <c r="F24" s="32">
        <v>3142</v>
      </c>
      <c r="G24" s="32">
        <v>166</v>
      </c>
      <c r="H24" s="32">
        <v>3307</v>
      </c>
      <c r="I24" s="32">
        <v>4765</v>
      </c>
      <c r="J24" s="32">
        <v>667</v>
      </c>
      <c r="K24" s="32">
        <v>1602</v>
      </c>
      <c r="L24" s="32">
        <v>7034</v>
      </c>
      <c r="M24" s="32">
        <v>7199</v>
      </c>
      <c r="N24" s="32">
        <v>2855</v>
      </c>
      <c r="O24" s="32">
        <v>161</v>
      </c>
      <c r="P24" s="32">
        <v>891</v>
      </c>
      <c r="Q24" s="32">
        <v>51</v>
      </c>
      <c r="R24" s="32">
        <v>357</v>
      </c>
      <c r="S24" s="32">
        <v>2701</v>
      </c>
      <c r="T24" s="32">
        <v>5811</v>
      </c>
      <c r="U24" s="32">
        <v>912</v>
      </c>
      <c r="V24" s="32">
        <v>2079</v>
      </c>
      <c r="W24" s="32">
        <v>15816</v>
      </c>
      <c r="X24" s="32">
        <v>26156</v>
      </c>
      <c r="Y24" s="32">
        <v>4031</v>
      </c>
      <c r="Z24" s="32">
        <v>349</v>
      </c>
      <c r="AA24" s="32">
        <v>29839</v>
      </c>
      <c r="AB24" s="32">
        <v>2739</v>
      </c>
      <c r="AC24" s="32">
        <v>108945</v>
      </c>
    </row>
    <row r="25" spans="1:29" x14ac:dyDescent="0.3">
      <c r="A25" s="31" t="s">
        <v>242</v>
      </c>
      <c r="B25" s="32">
        <v>4022</v>
      </c>
      <c r="C25" s="32">
        <v>1357</v>
      </c>
      <c r="D25" s="32">
        <v>909</v>
      </c>
      <c r="E25" s="32">
        <v>70</v>
      </c>
      <c r="F25" s="32">
        <v>6357</v>
      </c>
      <c r="G25" s="32">
        <v>264</v>
      </c>
      <c r="H25" s="32">
        <v>6621</v>
      </c>
      <c r="I25" s="32">
        <v>7002</v>
      </c>
      <c r="J25" s="32">
        <v>980</v>
      </c>
      <c r="K25" s="32">
        <v>2354</v>
      </c>
      <c r="L25" s="32">
        <v>10336</v>
      </c>
      <c r="M25" s="32">
        <v>10600</v>
      </c>
      <c r="N25" s="32">
        <v>4196</v>
      </c>
      <c r="O25" s="32">
        <v>236</v>
      </c>
      <c r="P25" s="32">
        <v>1309</v>
      </c>
      <c r="Q25" s="32">
        <v>74</v>
      </c>
      <c r="R25" s="32">
        <v>524</v>
      </c>
      <c r="S25" s="32">
        <v>3969</v>
      </c>
      <c r="T25" s="32">
        <v>8539</v>
      </c>
      <c r="U25" s="32">
        <v>1340</v>
      </c>
      <c r="V25" s="32">
        <v>3054</v>
      </c>
      <c r="W25" s="32">
        <v>23241</v>
      </c>
      <c r="X25" s="32">
        <v>40198</v>
      </c>
      <c r="Y25" s="32">
        <v>6195</v>
      </c>
      <c r="Z25" s="32">
        <v>536</v>
      </c>
      <c r="AA25" s="32">
        <v>45857</v>
      </c>
      <c r="AB25" s="32">
        <v>3584</v>
      </c>
      <c r="AC25" s="32">
        <v>127955</v>
      </c>
    </row>
    <row r="26" spans="1:29" x14ac:dyDescent="0.3">
      <c r="A26" s="31" t="s">
        <v>243</v>
      </c>
      <c r="B26" s="32">
        <v>2089</v>
      </c>
      <c r="C26" s="32">
        <v>1350</v>
      </c>
      <c r="D26" s="32">
        <v>385</v>
      </c>
      <c r="E26" s="32">
        <v>20</v>
      </c>
      <c r="F26" s="32">
        <v>3843</v>
      </c>
      <c r="G26" s="32">
        <v>304</v>
      </c>
      <c r="H26" s="32">
        <v>4147</v>
      </c>
      <c r="I26" s="32">
        <v>2915</v>
      </c>
      <c r="J26" s="32">
        <v>408</v>
      </c>
      <c r="K26" s="32">
        <v>980</v>
      </c>
      <c r="L26" s="32">
        <v>4302</v>
      </c>
      <c r="M26" s="32">
        <v>4606</v>
      </c>
      <c r="N26" s="32">
        <v>1747</v>
      </c>
      <c r="O26" s="32">
        <v>98</v>
      </c>
      <c r="P26" s="32">
        <v>545</v>
      </c>
      <c r="Q26" s="32">
        <v>31</v>
      </c>
      <c r="R26" s="32">
        <v>218</v>
      </c>
      <c r="S26" s="32">
        <v>1652</v>
      </c>
      <c r="T26" s="32">
        <v>3554</v>
      </c>
      <c r="U26" s="32">
        <v>558</v>
      </c>
      <c r="V26" s="32">
        <v>1271</v>
      </c>
      <c r="W26" s="32">
        <v>9674</v>
      </c>
      <c r="X26" s="32">
        <v>18123</v>
      </c>
      <c r="Y26" s="32">
        <v>2793</v>
      </c>
      <c r="Z26" s="32">
        <v>242</v>
      </c>
      <c r="AA26" s="32">
        <v>20675</v>
      </c>
      <c r="AB26" s="32">
        <v>1752</v>
      </c>
      <c r="AC26" s="32">
        <v>118024</v>
      </c>
    </row>
    <row r="27" spans="1:29" x14ac:dyDescent="0.3">
      <c r="A27" s="31" t="s">
        <v>244</v>
      </c>
      <c r="B27" s="32">
        <v>2826</v>
      </c>
      <c r="C27" s="32">
        <v>1099</v>
      </c>
      <c r="D27" s="32">
        <v>2304</v>
      </c>
      <c r="E27" s="32">
        <v>58</v>
      </c>
      <c r="F27" s="32">
        <v>6286</v>
      </c>
      <c r="G27" s="32">
        <v>3155</v>
      </c>
      <c r="H27" s="32">
        <v>9441</v>
      </c>
      <c r="I27" s="32">
        <v>4596</v>
      </c>
      <c r="J27" s="32">
        <v>643</v>
      </c>
      <c r="K27" s="32">
        <v>1545</v>
      </c>
      <c r="L27" s="32">
        <v>6784</v>
      </c>
      <c r="M27" s="32">
        <v>9939</v>
      </c>
      <c r="N27" s="32">
        <v>2754</v>
      </c>
      <c r="O27" s="32">
        <v>155</v>
      </c>
      <c r="P27" s="32">
        <v>859</v>
      </c>
      <c r="Q27" s="32">
        <v>49</v>
      </c>
      <c r="R27" s="32">
        <v>344</v>
      </c>
      <c r="S27" s="32">
        <v>2605</v>
      </c>
      <c r="T27" s="32">
        <v>5604</v>
      </c>
      <c r="U27" s="32">
        <v>879</v>
      </c>
      <c r="V27" s="32">
        <v>2005</v>
      </c>
      <c r="W27" s="32">
        <v>15254</v>
      </c>
      <c r="X27" s="32">
        <v>31479</v>
      </c>
      <c r="Y27" s="32">
        <v>4851</v>
      </c>
      <c r="Z27" s="32">
        <v>420</v>
      </c>
      <c r="AA27" s="32">
        <v>35911</v>
      </c>
      <c r="AB27" s="32">
        <v>2613</v>
      </c>
      <c r="AC27" s="32">
        <v>137441</v>
      </c>
    </row>
    <row r="28" spans="1:29" s="2" customFormat="1" x14ac:dyDescent="0.3">
      <c r="A28" s="14" t="s">
        <v>403</v>
      </c>
      <c r="B28" s="15">
        <v>20080</v>
      </c>
      <c r="C28" s="15">
        <v>9755</v>
      </c>
      <c r="D28" s="15">
        <v>6435</v>
      </c>
      <c r="E28" s="15">
        <v>253</v>
      </c>
      <c r="F28" s="15">
        <v>36523</v>
      </c>
      <c r="G28" s="15">
        <v>6914</v>
      </c>
      <c r="H28" s="15">
        <v>43436</v>
      </c>
      <c r="I28" s="15">
        <v>38727</v>
      </c>
      <c r="J28" s="15">
        <v>5420</v>
      </c>
      <c r="K28" s="15">
        <v>13018</v>
      </c>
      <c r="L28" s="15">
        <v>57164</v>
      </c>
      <c r="M28" s="15">
        <v>64079</v>
      </c>
      <c r="N28" s="15">
        <v>23207</v>
      </c>
      <c r="O28" s="15">
        <v>1306</v>
      </c>
      <c r="P28" s="15">
        <v>7239</v>
      </c>
      <c r="Q28" s="15">
        <v>411</v>
      </c>
      <c r="R28" s="15">
        <v>2899</v>
      </c>
      <c r="S28" s="15">
        <v>21949</v>
      </c>
      <c r="T28" s="15">
        <v>47226</v>
      </c>
      <c r="U28" s="15">
        <v>7410</v>
      </c>
      <c r="V28" s="15">
        <v>16892</v>
      </c>
      <c r="W28" s="15">
        <v>128538</v>
      </c>
      <c r="X28" s="15">
        <v>229138</v>
      </c>
      <c r="Y28" s="15">
        <v>35314</v>
      </c>
      <c r="Z28" s="15">
        <v>3057</v>
      </c>
      <c r="AA28" s="15">
        <v>261399</v>
      </c>
      <c r="AB28" s="15">
        <v>19971</v>
      </c>
      <c r="AC28" s="15">
        <f>AVERAGE(AC20:AC27)</f>
        <v>125222</v>
      </c>
    </row>
    <row r="29" spans="1:29" x14ac:dyDescent="0.3">
      <c r="A29" s="34" t="s">
        <v>245</v>
      </c>
      <c r="B29" s="35">
        <v>3149</v>
      </c>
      <c r="C29" s="35">
        <v>917</v>
      </c>
      <c r="D29" s="35">
        <v>383</v>
      </c>
      <c r="E29" s="35">
        <v>41</v>
      </c>
      <c r="F29" s="35">
        <v>4489</v>
      </c>
      <c r="G29" s="35">
        <v>190</v>
      </c>
      <c r="H29" s="35">
        <v>4680</v>
      </c>
      <c r="I29" s="35">
        <v>3975</v>
      </c>
      <c r="J29" s="35">
        <v>556</v>
      </c>
      <c r="K29" s="35">
        <v>1336</v>
      </c>
      <c r="L29" s="35">
        <v>5868</v>
      </c>
      <c r="M29" s="35">
        <v>6058</v>
      </c>
      <c r="N29" s="35">
        <v>2382</v>
      </c>
      <c r="O29" s="35">
        <v>134</v>
      </c>
      <c r="P29" s="35">
        <v>743</v>
      </c>
      <c r="Q29" s="35">
        <v>42</v>
      </c>
      <c r="R29" s="35">
        <v>298</v>
      </c>
      <c r="S29" s="35">
        <v>2253</v>
      </c>
      <c r="T29" s="35">
        <v>4848</v>
      </c>
      <c r="U29" s="35">
        <v>760</v>
      </c>
      <c r="V29" s="35">
        <v>1734</v>
      </c>
      <c r="W29" s="35">
        <v>13194</v>
      </c>
      <c r="X29" s="35">
        <v>23742</v>
      </c>
      <c r="Y29" s="35">
        <v>3659</v>
      </c>
      <c r="Z29" s="35">
        <v>317</v>
      </c>
      <c r="AA29" s="35">
        <v>27084</v>
      </c>
      <c r="AB29" s="35">
        <v>2743</v>
      </c>
      <c r="AC29" s="35">
        <v>98727</v>
      </c>
    </row>
    <row r="30" spans="1:29" x14ac:dyDescent="0.3">
      <c r="A30" s="34" t="s">
        <v>246</v>
      </c>
      <c r="B30" s="35">
        <v>3322</v>
      </c>
      <c r="C30" s="35">
        <v>419</v>
      </c>
      <c r="D30" s="35">
        <v>217</v>
      </c>
      <c r="E30" s="35">
        <v>26</v>
      </c>
      <c r="F30" s="35">
        <v>3984</v>
      </c>
      <c r="G30" s="35">
        <v>197</v>
      </c>
      <c r="H30" s="35">
        <v>4181</v>
      </c>
      <c r="I30" s="35">
        <v>4456</v>
      </c>
      <c r="J30" s="35">
        <v>624</v>
      </c>
      <c r="K30" s="35">
        <v>1498</v>
      </c>
      <c r="L30" s="35">
        <v>6578</v>
      </c>
      <c r="M30" s="35">
        <v>6775</v>
      </c>
      <c r="N30" s="35">
        <v>2670</v>
      </c>
      <c r="O30" s="35">
        <v>150</v>
      </c>
      <c r="P30" s="35">
        <v>833</v>
      </c>
      <c r="Q30" s="35">
        <v>47</v>
      </c>
      <c r="R30" s="35">
        <v>334</v>
      </c>
      <c r="S30" s="35">
        <v>2526</v>
      </c>
      <c r="T30" s="35">
        <v>5435</v>
      </c>
      <c r="U30" s="35">
        <v>853</v>
      </c>
      <c r="V30" s="35">
        <v>1944</v>
      </c>
      <c r="W30" s="35">
        <v>14791</v>
      </c>
      <c r="X30" s="35">
        <v>25551</v>
      </c>
      <c r="Y30" s="35">
        <v>3938</v>
      </c>
      <c r="Z30" s="35">
        <v>341</v>
      </c>
      <c r="AA30" s="35">
        <v>29148</v>
      </c>
      <c r="AB30" s="35">
        <v>1955</v>
      </c>
      <c r="AC30" s="35">
        <v>149107</v>
      </c>
    </row>
    <row r="31" spans="1:29" x14ac:dyDescent="0.3">
      <c r="A31" s="34" t="s">
        <v>247</v>
      </c>
      <c r="B31" s="35">
        <v>2121</v>
      </c>
      <c r="C31" s="35">
        <v>411</v>
      </c>
      <c r="D31" s="35">
        <v>129</v>
      </c>
      <c r="E31" s="35">
        <v>28</v>
      </c>
      <c r="F31" s="35">
        <v>2689</v>
      </c>
      <c r="G31" s="35">
        <v>54</v>
      </c>
      <c r="H31" s="35">
        <v>2743</v>
      </c>
      <c r="I31" s="35">
        <v>1612</v>
      </c>
      <c r="J31" s="35">
        <v>226</v>
      </c>
      <c r="K31" s="35">
        <v>542</v>
      </c>
      <c r="L31" s="35">
        <v>2379</v>
      </c>
      <c r="M31" s="35">
        <v>2433</v>
      </c>
      <c r="N31" s="35">
        <v>966</v>
      </c>
      <c r="O31" s="35">
        <v>54</v>
      </c>
      <c r="P31" s="35">
        <v>301</v>
      </c>
      <c r="Q31" s="35">
        <v>17</v>
      </c>
      <c r="R31" s="35">
        <v>121</v>
      </c>
      <c r="S31" s="35">
        <v>913</v>
      </c>
      <c r="T31" s="35">
        <v>1966</v>
      </c>
      <c r="U31" s="35">
        <v>308</v>
      </c>
      <c r="V31" s="35">
        <v>703</v>
      </c>
      <c r="W31" s="35">
        <v>5350</v>
      </c>
      <c r="X31" s="35">
        <v>10472</v>
      </c>
      <c r="Y31" s="35">
        <v>1614</v>
      </c>
      <c r="Z31" s="35">
        <v>140</v>
      </c>
      <c r="AA31" s="35">
        <v>11946</v>
      </c>
      <c r="AB31" s="35">
        <v>1266</v>
      </c>
      <c r="AC31" s="35">
        <v>94365</v>
      </c>
    </row>
    <row r="32" spans="1:29" x14ac:dyDescent="0.3">
      <c r="A32" s="34" t="s">
        <v>248</v>
      </c>
      <c r="B32" s="35">
        <v>5848</v>
      </c>
      <c r="C32" s="35">
        <v>1010</v>
      </c>
      <c r="D32" s="35">
        <v>771</v>
      </c>
      <c r="E32" s="35">
        <v>41</v>
      </c>
      <c r="F32" s="35">
        <v>7669</v>
      </c>
      <c r="G32" s="35">
        <v>242</v>
      </c>
      <c r="H32" s="35">
        <v>7912</v>
      </c>
      <c r="I32" s="35">
        <v>6341</v>
      </c>
      <c r="J32" s="35">
        <v>888</v>
      </c>
      <c r="K32" s="35">
        <v>2131</v>
      </c>
      <c r="L32" s="35">
        <v>9360</v>
      </c>
      <c r="M32" s="35">
        <v>9602</v>
      </c>
      <c r="N32" s="35">
        <v>3800</v>
      </c>
      <c r="O32" s="35">
        <v>214</v>
      </c>
      <c r="P32" s="35">
        <v>1185</v>
      </c>
      <c r="Q32" s="35">
        <v>67</v>
      </c>
      <c r="R32" s="35">
        <v>475</v>
      </c>
      <c r="S32" s="35">
        <v>3594</v>
      </c>
      <c r="T32" s="35">
        <v>7733</v>
      </c>
      <c r="U32" s="35">
        <v>1213</v>
      </c>
      <c r="V32" s="35">
        <v>2766</v>
      </c>
      <c r="W32" s="35">
        <v>21046</v>
      </c>
      <c r="X32" s="35">
        <v>38318</v>
      </c>
      <c r="Y32" s="35">
        <v>5905</v>
      </c>
      <c r="Z32" s="35">
        <v>511</v>
      </c>
      <c r="AA32" s="35">
        <v>43712</v>
      </c>
      <c r="AB32" s="35">
        <v>3103</v>
      </c>
      <c r="AC32" s="35">
        <v>140878</v>
      </c>
    </row>
    <row r="33" spans="1:29" x14ac:dyDescent="0.3">
      <c r="A33" s="34" t="s">
        <v>249</v>
      </c>
      <c r="B33" s="35">
        <v>4546</v>
      </c>
      <c r="C33" s="35">
        <v>728</v>
      </c>
      <c r="D33" s="35">
        <v>1336</v>
      </c>
      <c r="E33" s="35">
        <v>73</v>
      </c>
      <c r="F33" s="35">
        <v>6682</v>
      </c>
      <c r="G33" s="35">
        <v>2215</v>
      </c>
      <c r="H33" s="35">
        <v>8897</v>
      </c>
      <c r="I33" s="35">
        <v>4442</v>
      </c>
      <c r="J33" s="35">
        <v>622</v>
      </c>
      <c r="K33" s="35">
        <v>1493</v>
      </c>
      <c r="L33" s="35">
        <v>6557</v>
      </c>
      <c r="M33" s="35">
        <v>8772</v>
      </c>
      <c r="N33" s="35">
        <v>2662</v>
      </c>
      <c r="O33" s="35">
        <v>150</v>
      </c>
      <c r="P33" s="35">
        <v>830</v>
      </c>
      <c r="Q33" s="35">
        <v>47</v>
      </c>
      <c r="R33" s="35">
        <v>333</v>
      </c>
      <c r="S33" s="35">
        <v>2518</v>
      </c>
      <c r="T33" s="35">
        <v>5418</v>
      </c>
      <c r="U33" s="35">
        <v>850</v>
      </c>
      <c r="V33" s="35">
        <v>1938</v>
      </c>
      <c r="W33" s="35">
        <v>14745</v>
      </c>
      <c r="X33" s="35">
        <v>30199</v>
      </c>
      <c r="Y33" s="35">
        <v>4654</v>
      </c>
      <c r="Z33" s="35">
        <v>403</v>
      </c>
      <c r="AA33" s="35">
        <v>34451</v>
      </c>
      <c r="AB33" s="35">
        <v>2942</v>
      </c>
      <c r="AC33" s="35">
        <v>117115</v>
      </c>
    </row>
    <row r="34" spans="1:29" s="2" customFormat="1" x14ac:dyDescent="0.3">
      <c r="A34" s="16" t="s">
        <v>407</v>
      </c>
      <c r="B34" s="17">
        <v>18986</v>
      </c>
      <c r="C34" s="17">
        <v>3485</v>
      </c>
      <c r="D34" s="17">
        <v>2836</v>
      </c>
      <c r="E34" s="17">
        <v>209</v>
      </c>
      <c r="F34" s="17">
        <v>25513</v>
      </c>
      <c r="G34" s="17">
        <v>2898</v>
      </c>
      <c r="H34" s="17">
        <v>28413</v>
      </c>
      <c r="I34" s="17">
        <v>20826</v>
      </c>
      <c r="J34" s="17">
        <v>2916</v>
      </c>
      <c r="K34" s="17">
        <v>7000</v>
      </c>
      <c r="L34" s="17">
        <v>30742</v>
      </c>
      <c r="M34" s="17">
        <v>33640</v>
      </c>
      <c r="N34" s="17">
        <v>12480</v>
      </c>
      <c r="O34" s="17">
        <v>702</v>
      </c>
      <c r="P34" s="17">
        <v>3892</v>
      </c>
      <c r="Q34" s="17">
        <v>220</v>
      </c>
      <c r="R34" s="17">
        <v>1561</v>
      </c>
      <c r="S34" s="17">
        <v>11804</v>
      </c>
      <c r="T34" s="17">
        <v>25400</v>
      </c>
      <c r="U34" s="17">
        <v>3984</v>
      </c>
      <c r="V34" s="17">
        <v>9085</v>
      </c>
      <c r="W34" s="17">
        <v>69126</v>
      </c>
      <c r="X34" s="17">
        <v>128282</v>
      </c>
      <c r="Y34" s="17">
        <v>19770</v>
      </c>
      <c r="Z34" s="17">
        <v>1712</v>
      </c>
      <c r="AA34" s="17">
        <v>146341</v>
      </c>
      <c r="AB34" s="17">
        <v>12009</v>
      </c>
      <c r="AC34" s="17">
        <f>AVERAGE(AC29:AC33)</f>
        <v>120038.39999999999</v>
      </c>
    </row>
    <row r="35" spans="1:29" x14ac:dyDescent="0.3">
      <c r="A35" s="20" t="s">
        <v>250</v>
      </c>
      <c r="B35" s="21">
        <v>2671</v>
      </c>
      <c r="C35" s="21">
        <v>434</v>
      </c>
      <c r="D35" s="21">
        <v>987</v>
      </c>
      <c r="E35" s="21">
        <v>35</v>
      </c>
      <c r="F35" s="21">
        <v>4127</v>
      </c>
      <c r="G35" s="21">
        <v>218</v>
      </c>
      <c r="H35" s="21">
        <v>4345</v>
      </c>
      <c r="I35" s="21">
        <v>3303</v>
      </c>
      <c r="J35" s="21">
        <v>462</v>
      </c>
      <c r="K35" s="21">
        <v>1110</v>
      </c>
      <c r="L35" s="21">
        <v>4875</v>
      </c>
      <c r="M35" s="21">
        <v>5093</v>
      </c>
      <c r="N35" s="21">
        <v>1979</v>
      </c>
      <c r="O35" s="21">
        <v>111</v>
      </c>
      <c r="P35" s="21">
        <v>617</v>
      </c>
      <c r="Q35" s="21">
        <v>35</v>
      </c>
      <c r="R35" s="21">
        <v>247</v>
      </c>
      <c r="S35" s="21">
        <v>1872</v>
      </c>
      <c r="T35" s="21">
        <v>4028</v>
      </c>
      <c r="U35" s="21">
        <v>632</v>
      </c>
      <c r="V35" s="21">
        <v>1441</v>
      </c>
      <c r="W35" s="21">
        <v>10962</v>
      </c>
      <c r="X35" s="21">
        <v>20182</v>
      </c>
      <c r="Y35" s="21">
        <v>3110</v>
      </c>
      <c r="Z35" s="21">
        <v>269</v>
      </c>
      <c r="AA35" s="21">
        <v>23023</v>
      </c>
      <c r="AB35" s="21">
        <v>1393</v>
      </c>
      <c r="AC35" s="21">
        <v>165243</v>
      </c>
    </row>
    <row r="36" spans="1:29" x14ac:dyDescent="0.3">
      <c r="A36" s="20" t="s">
        <v>251</v>
      </c>
      <c r="B36" s="21">
        <v>3953</v>
      </c>
      <c r="C36" s="21">
        <v>810</v>
      </c>
      <c r="D36" s="21">
        <v>1015</v>
      </c>
      <c r="E36" s="21">
        <v>49</v>
      </c>
      <c r="F36" s="21">
        <v>5827</v>
      </c>
      <c r="G36" s="21">
        <v>1309</v>
      </c>
      <c r="H36" s="21">
        <v>7136</v>
      </c>
      <c r="I36" s="21">
        <v>21747</v>
      </c>
      <c r="J36" s="21">
        <v>3044</v>
      </c>
      <c r="K36" s="21">
        <v>7310</v>
      </c>
      <c r="L36" s="21">
        <v>32101</v>
      </c>
      <c r="M36" s="21">
        <v>33410</v>
      </c>
      <c r="N36" s="21">
        <v>13032</v>
      </c>
      <c r="O36" s="21">
        <v>734</v>
      </c>
      <c r="P36" s="21">
        <v>4064</v>
      </c>
      <c r="Q36" s="21">
        <v>231</v>
      </c>
      <c r="R36" s="21">
        <v>1628</v>
      </c>
      <c r="S36" s="21">
        <v>12325</v>
      </c>
      <c r="T36" s="21">
        <v>26520</v>
      </c>
      <c r="U36" s="21">
        <v>4160</v>
      </c>
      <c r="V36" s="21">
        <v>9486</v>
      </c>
      <c r="W36" s="21">
        <v>72181</v>
      </c>
      <c r="X36" s="21">
        <v>111418</v>
      </c>
      <c r="Y36" s="21">
        <v>17171</v>
      </c>
      <c r="Z36" s="21">
        <v>1486</v>
      </c>
      <c r="AA36" s="21">
        <v>127104</v>
      </c>
      <c r="AB36" s="21">
        <v>5138</v>
      </c>
      <c r="AC36" s="21">
        <v>247403</v>
      </c>
    </row>
    <row r="37" spans="1:29" x14ac:dyDescent="0.3">
      <c r="A37" s="20" t="s">
        <v>252</v>
      </c>
      <c r="B37" s="21">
        <v>1670</v>
      </c>
      <c r="C37" s="21">
        <v>387</v>
      </c>
      <c r="D37" s="21">
        <v>955</v>
      </c>
      <c r="E37" s="21">
        <v>15</v>
      </c>
      <c r="F37" s="21">
        <v>3026</v>
      </c>
      <c r="G37" s="21">
        <v>1691</v>
      </c>
      <c r="H37" s="21">
        <v>4717</v>
      </c>
      <c r="I37" s="21">
        <v>2193</v>
      </c>
      <c r="J37" s="21">
        <v>307</v>
      </c>
      <c r="K37" s="21">
        <v>737</v>
      </c>
      <c r="L37" s="21">
        <v>3237</v>
      </c>
      <c r="M37" s="21">
        <v>4928</v>
      </c>
      <c r="N37" s="21">
        <v>1314</v>
      </c>
      <c r="O37" s="21">
        <v>74</v>
      </c>
      <c r="P37" s="21">
        <v>410</v>
      </c>
      <c r="Q37" s="21">
        <v>23</v>
      </c>
      <c r="R37" s="21">
        <v>164</v>
      </c>
      <c r="S37" s="21">
        <v>1243</v>
      </c>
      <c r="T37" s="21">
        <v>2675</v>
      </c>
      <c r="U37" s="21">
        <v>420</v>
      </c>
      <c r="V37" s="21">
        <v>957</v>
      </c>
      <c r="W37" s="21">
        <v>7279</v>
      </c>
      <c r="X37" s="21">
        <v>15234</v>
      </c>
      <c r="Y37" s="21">
        <v>2348</v>
      </c>
      <c r="Z37" s="21">
        <v>203</v>
      </c>
      <c r="AA37" s="21">
        <v>17379</v>
      </c>
      <c r="AB37" s="21">
        <v>1271</v>
      </c>
      <c r="AC37" s="21">
        <v>136698</v>
      </c>
    </row>
    <row r="38" spans="1:29" x14ac:dyDescent="0.3">
      <c r="A38" s="20" t="s">
        <v>253</v>
      </c>
      <c r="B38" s="21">
        <v>1218</v>
      </c>
      <c r="C38" s="21">
        <v>262</v>
      </c>
      <c r="D38" s="21">
        <v>397</v>
      </c>
      <c r="E38" s="21">
        <v>18</v>
      </c>
      <c r="F38" s="21">
        <v>1896</v>
      </c>
      <c r="G38" s="21">
        <v>779</v>
      </c>
      <c r="H38" s="21">
        <v>2675</v>
      </c>
      <c r="I38" s="21">
        <v>2755</v>
      </c>
      <c r="J38" s="21">
        <v>386</v>
      </c>
      <c r="K38" s="21">
        <v>926</v>
      </c>
      <c r="L38" s="21">
        <v>4067</v>
      </c>
      <c r="M38" s="21">
        <v>4846</v>
      </c>
      <c r="N38" s="21">
        <v>1651</v>
      </c>
      <c r="O38" s="21">
        <v>93</v>
      </c>
      <c r="P38" s="21">
        <v>515</v>
      </c>
      <c r="Q38" s="21">
        <v>29</v>
      </c>
      <c r="R38" s="21">
        <v>206</v>
      </c>
      <c r="S38" s="21">
        <v>1562</v>
      </c>
      <c r="T38" s="21">
        <v>3360</v>
      </c>
      <c r="U38" s="21">
        <v>527</v>
      </c>
      <c r="V38" s="21">
        <v>1202</v>
      </c>
      <c r="W38" s="21">
        <v>9145</v>
      </c>
      <c r="X38" s="21">
        <v>15887</v>
      </c>
      <c r="Y38" s="21">
        <v>2448</v>
      </c>
      <c r="Z38" s="21">
        <v>212</v>
      </c>
      <c r="AA38" s="21">
        <v>18124</v>
      </c>
      <c r="AB38" s="21">
        <v>1398</v>
      </c>
      <c r="AC38" s="21">
        <v>129660</v>
      </c>
    </row>
    <row r="39" spans="1:29" x14ac:dyDescent="0.3">
      <c r="A39" s="20" t="s">
        <v>254</v>
      </c>
      <c r="B39" s="21">
        <v>2318</v>
      </c>
      <c r="C39" s="21">
        <v>407</v>
      </c>
      <c r="D39" s="21">
        <v>2400</v>
      </c>
      <c r="E39" s="21">
        <v>112</v>
      </c>
      <c r="F39" s="21">
        <v>5236</v>
      </c>
      <c r="G39" s="21">
        <v>3129</v>
      </c>
      <c r="H39" s="21">
        <v>8365</v>
      </c>
      <c r="I39" s="21">
        <v>5378</v>
      </c>
      <c r="J39" s="21">
        <v>753</v>
      </c>
      <c r="K39" s="21">
        <v>1808</v>
      </c>
      <c r="L39" s="21">
        <v>7939</v>
      </c>
      <c r="M39" s="21">
        <v>11068</v>
      </c>
      <c r="N39" s="21">
        <v>3223</v>
      </c>
      <c r="O39" s="21">
        <v>181</v>
      </c>
      <c r="P39" s="21">
        <v>1005</v>
      </c>
      <c r="Q39" s="21">
        <v>57</v>
      </c>
      <c r="R39" s="21">
        <v>403</v>
      </c>
      <c r="S39" s="21">
        <v>3048</v>
      </c>
      <c r="T39" s="21">
        <v>6558</v>
      </c>
      <c r="U39" s="21">
        <v>1029</v>
      </c>
      <c r="V39" s="21">
        <v>2346</v>
      </c>
      <c r="W39" s="21">
        <v>17850</v>
      </c>
      <c r="X39" s="21">
        <v>34154</v>
      </c>
      <c r="Y39" s="21">
        <v>5264</v>
      </c>
      <c r="Z39" s="21">
        <v>455</v>
      </c>
      <c r="AA39" s="21">
        <v>38963</v>
      </c>
      <c r="AB39" s="21">
        <v>2366</v>
      </c>
      <c r="AC39" s="21">
        <v>164647</v>
      </c>
    </row>
    <row r="40" spans="1:29" x14ac:dyDescent="0.3">
      <c r="A40" s="20" t="s">
        <v>255</v>
      </c>
      <c r="B40" s="21">
        <v>794</v>
      </c>
      <c r="C40" s="21">
        <v>412</v>
      </c>
      <c r="D40" s="21">
        <v>672</v>
      </c>
      <c r="E40" s="21">
        <v>47</v>
      </c>
      <c r="F40" s="21">
        <v>1925</v>
      </c>
      <c r="G40" s="21">
        <v>14</v>
      </c>
      <c r="H40" s="21">
        <v>1939</v>
      </c>
      <c r="I40" s="21">
        <v>1649</v>
      </c>
      <c r="J40" s="21">
        <v>231</v>
      </c>
      <c r="K40" s="21">
        <v>554</v>
      </c>
      <c r="L40" s="21">
        <v>2435</v>
      </c>
      <c r="M40" s="21">
        <v>2448</v>
      </c>
      <c r="N40" s="21">
        <v>988</v>
      </c>
      <c r="O40" s="21">
        <v>56</v>
      </c>
      <c r="P40" s="21">
        <v>308</v>
      </c>
      <c r="Q40" s="21">
        <v>17</v>
      </c>
      <c r="R40" s="21">
        <v>124</v>
      </c>
      <c r="S40" s="21">
        <v>935</v>
      </c>
      <c r="T40" s="21">
        <v>2011</v>
      </c>
      <c r="U40" s="21">
        <v>316</v>
      </c>
      <c r="V40" s="21">
        <v>719</v>
      </c>
      <c r="W40" s="21">
        <v>5474</v>
      </c>
      <c r="X40" s="21">
        <v>9848</v>
      </c>
      <c r="Y40" s="21">
        <v>1518</v>
      </c>
      <c r="Z40" s="21">
        <v>131</v>
      </c>
      <c r="AA40" s="21">
        <v>11234</v>
      </c>
      <c r="AB40" s="21">
        <v>1128</v>
      </c>
      <c r="AC40" s="21">
        <v>99590</v>
      </c>
    </row>
    <row r="41" spans="1:29" s="2" customFormat="1" x14ac:dyDescent="0.3">
      <c r="A41" s="23" t="s">
        <v>402</v>
      </c>
      <c r="B41" s="24">
        <v>12624</v>
      </c>
      <c r="C41" s="24">
        <v>2712</v>
      </c>
      <c r="D41" s="24">
        <v>6426</v>
      </c>
      <c r="E41" s="24">
        <v>276</v>
      </c>
      <c r="F41" s="24">
        <v>22037</v>
      </c>
      <c r="G41" s="24">
        <v>7140</v>
      </c>
      <c r="H41" s="24">
        <v>29177</v>
      </c>
      <c r="I41" s="24">
        <v>37025</v>
      </c>
      <c r="J41" s="24">
        <v>5183</v>
      </c>
      <c r="K41" s="24">
        <v>12445</v>
      </c>
      <c r="L41" s="24">
        <v>54654</v>
      </c>
      <c r="M41" s="24">
        <v>61793</v>
      </c>
      <c r="N41" s="24">
        <v>22187</v>
      </c>
      <c r="O41" s="24">
        <v>1249</v>
      </c>
      <c r="P41" s="24">
        <v>6919</v>
      </c>
      <c r="Q41" s="24">
        <v>392</v>
      </c>
      <c r="R41" s="24">
        <v>2772</v>
      </c>
      <c r="S41" s="24">
        <v>20985</v>
      </c>
      <c r="T41" s="24">
        <v>45152</v>
      </c>
      <c r="U41" s="24">
        <v>7084</v>
      </c>
      <c r="V41" s="24">
        <v>16151</v>
      </c>
      <c r="W41" s="24">
        <v>122891</v>
      </c>
      <c r="X41" s="24">
        <v>206723</v>
      </c>
      <c r="Y41" s="24">
        <v>31859</v>
      </c>
      <c r="Z41" s="24">
        <v>2756</v>
      </c>
      <c r="AA41" s="24">
        <v>235827</v>
      </c>
      <c r="AB41" s="24">
        <v>12694</v>
      </c>
      <c r="AC41" s="24">
        <f>AVERAGE(AC35:AC40)</f>
        <v>157206.83333333334</v>
      </c>
    </row>
    <row r="42" spans="1:29" s="2" customFormat="1" x14ac:dyDescent="0.3">
      <c r="A42" s="25" t="s">
        <v>406</v>
      </c>
      <c r="B42" s="26">
        <v>130912</v>
      </c>
      <c r="C42" s="26">
        <v>60254</v>
      </c>
      <c r="D42" s="26">
        <v>33450</v>
      </c>
      <c r="E42" s="26">
        <v>5428</v>
      </c>
      <c r="F42" s="26">
        <v>230039</v>
      </c>
      <c r="G42" s="26">
        <v>65342</v>
      </c>
      <c r="H42" s="26">
        <v>295383</v>
      </c>
      <c r="I42" s="26">
        <v>400689</v>
      </c>
      <c r="J42" s="26">
        <v>56088</v>
      </c>
      <c r="K42" s="26">
        <v>134680</v>
      </c>
      <c r="L42" s="26">
        <v>591456</v>
      </c>
      <c r="M42" s="26">
        <v>656797</v>
      </c>
      <c r="N42" s="26">
        <v>240107</v>
      </c>
      <c r="O42" s="26">
        <v>13513</v>
      </c>
      <c r="P42" s="26">
        <v>74882</v>
      </c>
      <c r="Q42" s="26">
        <v>4249</v>
      </c>
      <c r="R42" s="26">
        <v>30005</v>
      </c>
      <c r="S42" s="26">
        <v>227096</v>
      </c>
      <c r="T42" s="26">
        <v>488636</v>
      </c>
      <c r="U42" s="26">
        <v>76656</v>
      </c>
      <c r="V42" s="26">
        <v>174782</v>
      </c>
      <c r="W42" s="26">
        <v>1329928</v>
      </c>
      <c r="X42" s="26">
        <v>2216769</v>
      </c>
      <c r="Y42" s="26">
        <v>341641</v>
      </c>
      <c r="Z42" s="26">
        <v>29561</v>
      </c>
      <c r="AA42" s="26">
        <v>2528858</v>
      </c>
      <c r="AB42" s="26">
        <v>121680</v>
      </c>
      <c r="AC42" s="26">
        <f>AVERAGE(AC41,AC34,AC28,AC13,AC7,AC19)</f>
        <v>169301.17222222223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42"/>
  <sheetViews>
    <sheetView tabSelected="1" zoomScale="122" zoomScaleNormal="122" workbookViewId="0">
      <selection activeCell="J12" sqref="J12"/>
    </sheetView>
  </sheetViews>
  <sheetFormatPr defaultRowHeight="14.4" x14ac:dyDescent="0.3"/>
  <cols>
    <col min="1" max="1" width="22.33203125" bestFit="1" customWidth="1"/>
    <col min="2" max="2" width="7.21875" bestFit="1" customWidth="1"/>
    <col min="3" max="3" width="7.88671875" customWidth="1"/>
    <col min="4" max="4" width="13.88671875" bestFit="1" customWidth="1"/>
    <col min="5" max="5" width="15.33203125" bestFit="1" customWidth="1"/>
    <col min="6" max="6" width="19.33203125" bestFit="1" customWidth="1"/>
    <col min="7" max="7" width="13.109375" bestFit="1" customWidth="1"/>
    <col min="8" max="8" width="9.44140625" bestFit="1" customWidth="1"/>
    <col min="9" max="9" width="9.77734375" bestFit="1" customWidth="1"/>
    <col min="10" max="10" width="33.6640625" bestFit="1" customWidth="1"/>
    <col min="11" max="11" width="8.6640625" bestFit="1" customWidth="1"/>
    <col min="12" max="12" width="11.33203125" bestFit="1" customWidth="1"/>
    <col min="13" max="13" width="7" bestFit="1" customWidth="1"/>
    <col min="14" max="14" width="22.88671875" bestFit="1" customWidth="1"/>
    <col min="15" max="15" width="6.21875" bestFit="1" customWidth="1"/>
    <col min="16" max="16" width="25.6640625" bestFit="1" customWidth="1"/>
    <col min="17" max="17" width="5.44140625" bestFit="1" customWidth="1"/>
    <col min="18" max="18" width="23.5546875" bestFit="1" customWidth="1"/>
    <col min="19" max="19" width="11.5546875" bestFit="1" customWidth="1"/>
    <col min="20" max="20" width="29.21875" bestFit="1" customWidth="1"/>
    <col min="21" max="21" width="20.6640625" bestFit="1" customWidth="1"/>
    <col min="22" max="22" width="9.5546875" bestFit="1" customWidth="1"/>
    <col min="23" max="23" width="15.5546875" bestFit="1" customWidth="1"/>
    <col min="24" max="24" width="8" bestFit="1" customWidth="1"/>
    <col min="25" max="25" width="11.88671875" bestFit="1" customWidth="1"/>
    <col min="26" max="26" width="17.44140625" bestFit="1" customWidth="1"/>
    <col min="27" max="27" width="8" bestFit="1" customWidth="1"/>
    <col min="28" max="28" width="10.77734375" bestFit="1" customWidth="1"/>
    <col min="29" max="29" width="23.5546875" bestFit="1" customWidth="1"/>
  </cols>
  <sheetData>
    <row r="1" spans="1:29" x14ac:dyDescent="0.3">
      <c r="A1" s="37" t="s">
        <v>0</v>
      </c>
      <c r="B1" s="37" t="s">
        <v>1</v>
      </c>
      <c r="C1" s="37" t="s">
        <v>2</v>
      </c>
      <c r="D1" s="37" t="s">
        <v>382</v>
      </c>
      <c r="E1" s="37" t="s">
        <v>383</v>
      </c>
      <c r="F1" s="37" t="s">
        <v>384</v>
      </c>
      <c r="G1" s="37" t="s">
        <v>385</v>
      </c>
      <c r="H1" s="37" t="s">
        <v>386</v>
      </c>
      <c r="I1" s="37" t="s">
        <v>3</v>
      </c>
      <c r="J1" s="37" t="s">
        <v>387</v>
      </c>
      <c r="K1" s="37" t="s">
        <v>4</v>
      </c>
      <c r="L1" s="37" t="s">
        <v>388</v>
      </c>
      <c r="M1" s="37" t="s">
        <v>389</v>
      </c>
      <c r="N1" s="37" t="s">
        <v>410</v>
      </c>
      <c r="O1" s="38" t="s">
        <v>37</v>
      </c>
      <c r="P1" s="39" t="s">
        <v>411</v>
      </c>
      <c r="Q1" s="37" t="s">
        <v>38</v>
      </c>
      <c r="R1" s="37" t="s">
        <v>390</v>
      </c>
      <c r="S1" s="37" t="s">
        <v>391</v>
      </c>
      <c r="T1" s="37" t="s">
        <v>392</v>
      </c>
      <c r="U1" s="38" t="s">
        <v>393</v>
      </c>
      <c r="V1" s="37" t="s">
        <v>394</v>
      </c>
      <c r="W1" s="37" t="s">
        <v>395</v>
      </c>
      <c r="X1" s="37" t="s">
        <v>396</v>
      </c>
      <c r="Y1" s="39" t="s">
        <v>397</v>
      </c>
      <c r="Z1" s="37" t="s">
        <v>398</v>
      </c>
      <c r="AA1" s="37" t="s">
        <v>399</v>
      </c>
      <c r="AB1" s="37" t="s">
        <v>400</v>
      </c>
      <c r="AC1" s="37" t="s">
        <v>401</v>
      </c>
    </row>
    <row r="2" spans="1:29" x14ac:dyDescent="0.3">
      <c r="A2" s="4" t="s">
        <v>409</v>
      </c>
      <c r="B2" s="5">
        <v>1</v>
      </c>
      <c r="C2" s="5">
        <v>841</v>
      </c>
      <c r="D2" s="5">
        <v>49</v>
      </c>
      <c r="E2" s="5">
        <v>2016</v>
      </c>
      <c r="F2" s="5">
        <v>2906</v>
      </c>
      <c r="G2" s="5">
        <v>34770</v>
      </c>
      <c r="H2" s="5">
        <v>37676</v>
      </c>
      <c r="I2" s="5">
        <v>74121</v>
      </c>
      <c r="J2" s="5">
        <v>11575</v>
      </c>
      <c r="K2" s="5">
        <v>28924</v>
      </c>
      <c r="L2" s="5">
        <v>114621</v>
      </c>
      <c r="M2" s="5">
        <v>149390</v>
      </c>
      <c r="N2" s="5">
        <v>54461</v>
      </c>
      <c r="O2" s="5">
        <v>2776</v>
      </c>
      <c r="P2" s="5">
        <v>15787</v>
      </c>
      <c r="Q2" s="5">
        <v>929</v>
      </c>
      <c r="R2" s="5">
        <v>7047</v>
      </c>
      <c r="S2" s="5">
        <v>52139</v>
      </c>
      <c r="T2" s="5">
        <v>113406</v>
      </c>
      <c r="U2" s="5">
        <v>19725</v>
      </c>
      <c r="V2" s="5">
        <v>42885</v>
      </c>
      <c r="W2" s="5">
        <v>309154</v>
      </c>
      <c r="X2" s="5">
        <v>461451</v>
      </c>
      <c r="Y2" s="5">
        <v>66489</v>
      </c>
      <c r="Z2" s="5">
        <v>6371</v>
      </c>
      <c r="AA2" s="5">
        <v>521569</v>
      </c>
      <c r="AB2" s="5">
        <v>14313</v>
      </c>
      <c r="AC2" s="5">
        <v>364393</v>
      </c>
    </row>
    <row r="3" spans="1:29" x14ac:dyDescent="0.3">
      <c r="A3" s="4" t="s">
        <v>381</v>
      </c>
      <c r="B3" s="5">
        <v>4103</v>
      </c>
      <c r="C3" s="5">
        <v>1904</v>
      </c>
      <c r="D3" s="5">
        <v>3148</v>
      </c>
      <c r="E3" s="5">
        <v>1425</v>
      </c>
      <c r="F3" s="5">
        <v>10580</v>
      </c>
      <c r="G3" s="5">
        <v>627</v>
      </c>
      <c r="H3" s="5">
        <v>11207</v>
      </c>
      <c r="I3" s="5">
        <v>57788</v>
      </c>
      <c r="J3" s="5">
        <v>9025</v>
      </c>
      <c r="K3" s="5">
        <v>22551</v>
      </c>
      <c r="L3" s="5">
        <v>89363</v>
      </c>
      <c r="M3" s="5">
        <v>89990</v>
      </c>
      <c r="N3" s="5">
        <v>42460</v>
      </c>
      <c r="O3" s="5">
        <v>2164</v>
      </c>
      <c r="P3" s="5">
        <v>12308</v>
      </c>
      <c r="Q3" s="5">
        <v>724</v>
      </c>
      <c r="R3" s="5">
        <v>5494</v>
      </c>
      <c r="S3" s="5">
        <v>40650</v>
      </c>
      <c r="T3" s="5">
        <v>88416</v>
      </c>
      <c r="U3" s="5">
        <v>15379</v>
      </c>
      <c r="V3" s="5">
        <v>33435</v>
      </c>
      <c r="W3" s="5">
        <v>241031</v>
      </c>
      <c r="X3" s="5">
        <v>341602</v>
      </c>
      <c r="Y3" s="5">
        <v>49220</v>
      </c>
      <c r="Z3" s="5">
        <v>4716</v>
      </c>
      <c r="AA3" s="5">
        <v>386106</v>
      </c>
      <c r="AB3" s="5">
        <v>12456</v>
      </c>
      <c r="AC3" s="5">
        <v>309965</v>
      </c>
    </row>
    <row r="4" spans="1:29" x14ac:dyDescent="0.3">
      <c r="A4" s="4" t="s">
        <v>256</v>
      </c>
      <c r="B4" s="5">
        <v>2010</v>
      </c>
      <c r="C4" s="5">
        <v>556</v>
      </c>
      <c r="D4" s="5">
        <v>2803</v>
      </c>
      <c r="E4" s="5">
        <v>373</v>
      </c>
      <c r="F4" s="5">
        <v>5743</v>
      </c>
      <c r="G4" s="5">
        <v>7900</v>
      </c>
      <c r="H4" s="5">
        <v>13642</v>
      </c>
      <c r="I4" s="5">
        <v>8499</v>
      </c>
      <c r="J4" s="5">
        <v>1327</v>
      </c>
      <c r="K4" s="5">
        <v>3317</v>
      </c>
      <c r="L4" s="5">
        <v>13143</v>
      </c>
      <c r="M4" s="5">
        <v>21043</v>
      </c>
      <c r="N4" s="5">
        <v>6245</v>
      </c>
      <c r="O4" s="5">
        <v>318</v>
      </c>
      <c r="P4" s="5">
        <v>1810</v>
      </c>
      <c r="Q4" s="5">
        <v>107</v>
      </c>
      <c r="R4" s="5">
        <v>808</v>
      </c>
      <c r="S4" s="5">
        <v>5978</v>
      </c>
      <c r="T4" s="5">
        <v>13003</v>
      </c>
      <c r="U4" s="5">
        <v>2262</v>
      </c>
      <c r="V4" s="5">
        <v>4917</v>
      </c>
      <c r="W4" s="5">
        <v>35449</v>
      </c>
      <c r="X4" s="5">
        <v>62234</v>
      </c>
      <c r="Y4" s="5">
        <v>8967</v>
      </c>
      <c r="Z4" s="5">
        <v>859</v>
      </c>
      <c r="AA4" s="5">
        <v>70342</v>
      </c>
      <c r="AB4" s="5">
        <v>2856</v>
      </c>
      <c r="AC4" s="5">
        <v>246306</v>
      </c>
    </row>
    <row r="5" spans="1:29" x14ac:dyDescent="0.3">
      <c r="A5" s="4" t="s">
        <v>257</v>
      </c>
      <c r="B5" s="5">
        <v>4852</v>
      </c>
      <c r="C5" s="5">
        <v>355</v>
      </c>
      <c r="D5" s="5">
        <v>1294</v>
      </c>
      <c r="E5" s="5">
        <v>440</v>
      </c>
      <c r="F5" s="5">
        <v>6942</v>
      </c>
      <c r="G5" s="5">
        <v>135</v>
      </c>
      <c r="H5" s="5">
        <v>7077</v>
      </c>
      <c r="I5" s="5">
        <v>3833</v>
      </c>
      <c r="J5" s="5">
        <v>599</v>
      </c>
      <c r="K5" s="5">
        <v>1496</v>
      </c>
      <c r="L5" s="5">
        <v>5927</v>
      </c>
      <c r="M5" s="5">
        <v>6062</v>
      </c>
      <c r="N5" s="5">
        <v>2816</v>
      </c>
      <c r="O5" s="5">
        <v>144</v>
      </c>
      <c r="P5" s="5">
        <v>816</v>
      </c>
      <c r="Q5" s="5">
        <v>48</v>
      </c>
      <c r="R5" s="5">
        <v>364</v>
      </c>
      <c r="S5" s="5">
        <v>2696</v>
      </c>
      <c r="T5" s="5">
        <v>5864</v>
      </c>
      <c r="U5" s="5">
        <v>1020</v>
      </c>
      <c r="V5" s="5">
        <v>2217</v>
      </c>
      <c r="W5" s="5">
        <v>15985</v>
      </c>
      <c r="X5" s="5">
        <v>28989</v>
      </c>
      <c r="Y5" s="5">
        <v>4177</v>
      </c>
      <c r="Z5" s="5">
        <v>400</v>
      </c>
      <c r="AA5" s="5">
        <v>32765</v>
      </c>
      <c r="AB5" s="5">
        <v>1716</v>
      </c>
      <c r="AC5" s="5">
        <v>190912</v>
      </c>
    </row>
    <row r="6" spans="1:29" x14ac:dyDescent="0.3">
      <c r="A6" s="4" t="s">
        <v>258</v>
      </c>
      <c r="B6" s="5">
        <v>2998</v>
      </c>
      <c r="C6" s="5">
        <v>313</v>
      </c>
      <c r="D6" s="5">
        <v>3022</v>
      </c>
      <c r="E6" s="5">
        <v>283</v>
      </c>
      <c r="F6" s="5">
        <v>6616</v>
      </c>
      <c r="G6" s="5">
        <v>510</v>
      </c>
      <c r="H6" s="5">
        <v>7126</v>
      </c>
      <c r="I6" s="5">
        <v>1742</v>
      </c>
      <c r="J6" s="5">
        <v>272</v>
      </c>
      <c r="K6" s="5">
        <v>680</v>
      </c>
      <c r="L6" s="5">
        <v>2694</v>
      </c>
      <c r="M6" s="5">
        <v>3203</v>
      </c>
      <c r="N6" s="5">
        <v>1280</v>
      </c>
      <c r="O6" s="5">
        <v>65</v>
      </c>
      <c r="P6" s="5">
        <v>371</v>
      </c>
      <c r="Q6" s="5">
        <v>22</v>
      </c>
      <c r="R6" s="5">
        <v>166</v>
      </c>
      <c r="S6" s="5">
        <v>1225</v>
      </c>
      <c r="T6" s="5">
        <v>2665</v>
      </c>
      <c r="U6" s="5">
        <v>464</v>
      </c>
      <c r="V6" s="5">
        <v>1008</v>
      </c>
      <c r="W6" s="5">
        <v>7265</v>
      </c>
      <c r="X6" s="5">
        <v>17085</v>
      </c>
      <c r="Y6" s="5">
        <v>2462</v>
      </c>
      <c r="Z6" s="5">
        <v>236</v>
      </c>
      <c r="AA6" s="5">
        <v>19310</v>
      </c>
      <c r="AB6" s="5">
        <v>900</v>
      </c>
      <c r="AC6" s="5">
        <v>214666</v>
      </c>
    </row>
    <row r="7" spans="1:29" s="2" customFormat="1" x14ac:dyDescent="0.3">
      <c r="A7" s="18" t="s">
        <v>405</v>
      </c>
      <c r="B7" s="19">
        <v>13964</v>
      </c>
      <c r="C7" s="19">
        <v>3969</v>
      </c>
      <c r="D7" s="19">
        <v>10316</v>
      </c>
      <c r="E7" s="19">
        <v>4537</v>
      </c>
      <c r="F7" s="19">
        <v>32787</v>
      </c>
      <c r="G7" s="19">
        <v>43942</v>
      </c>
      <c r="H7" s="19">
        <v>76728</v>
      </c>
      <c r="I7" s="19">
        <v>145983</v>
      </c>
      <c r="J7" s="19">
        <v>22798</v>
      </c>
      <c r="K7" s="19">
        <v>56968</v>
      </c>
      <c r="L7" s="19">
        <v>225748</v>
      </c>
      <c r="M7" s="19">
        <v>269688</v>
      </c>
      <c r="N7" s="19">
        <v>107262</v>
      </c>
      <c r="O7" s="19">
        <v>5467</v>
      </c>
      <c r="P7" s="19">
        <v>31092</v>
      </c>
      <c r="Q7" s="19">
        <v>1830</v>
      </c>
      <c r="R7" s="19">
        <v>13879</v>
      </c>
      <c r="S7" s="19">
        <v>102688</v>
      </c>
      <c r="T7" s="19">
        <v>223354</v>
      </c>
      <c r="U7" s="19">
        <v>38850</v>
      </c>
      <c r="V7" s="19">
        <v>84462</v>
      </c>
      <c r="W7" s="19">
        <v>608884</v>
      </c>
      <c r="X7" s="19">
        <v>911361</v>
      </c>
      <c r="Y7" s="19">
        <v>131315</v>
      </c>
      <c r="Z7" s="19">
        <v>12582</v>
      </c>
      <c r="AA7" s="19">
        <v>1030092</v>
      </c>
      <c r="AB7" s="19">
        <v>32241</v>
      </c>
      <c r="AC7" s="19">
        <f>AVERAGE(AC2:AC6)</f>
        <v>265248.40000000002</v>
      </c>
    </row>
    <row r="8" spans="1:29" x14ac:dyDescent="0.3">
      <c r="A8" s="27" t="s">
        <v>259</v>
      </c>
      <c r="B8" s="28">
        <v>15603</v>
      </c>
      <c r="C8" s="28">
        <v>4120</v>
      </c>
      <c r="D8" s="28">
        <v>700</v>
      </c>
      <c r="E8" s="28">
        <v>62</v>
      </c>
      <c r="F8" s="28">
        <v>20484</v>
      </c>
      <c r="G8" s="28">
        <v>596</v>
      </c>
      <c r="H8" s="28">
        <v>21081</v>
      </c>
      <c r="I8" s="28">
        <v>16629</v>
      </c>
      <c r="J8" s="28">
        <v>2597</v>
      </c>
      <c r="K8" s="28">
        <v>6489</v>
      </c>
      <c r="L8" s="28">
        <v>25715</v>
      </c>
      <c r="M8" s="28">
        <v>26312</v>
      </c>
      <c r="N8" s="28">
        <v>12219</v>
      </c>
      <c r="O8" s="28">
        <v>623</v>
      </c>
      <c r="P8" s="28">
        <v>3542</v>
      </c>
      <c r="Q8" s="28">
        <v>208</v>
      </c>
      <c r="R8" s="28">
        <v>1581</v>
      </c>
      <c r="S8" s="28">
        <v>11697</v>
      </c>
      <c r="T8" s="28">
        <v>25443</v>
      </c>
      <c r="U8" s="28">
        <v>4425</v>
      </c>
      <c r="V8" s="28">
        <v>9621</v>
      </c>
      <c r="W8" s="28">
        <v>69360</v>
      </c>
      <c r="X8" s="28">
        <v>116156</v>
      </c>
      <c r="Y8" s="28">
        <v>16737</v>
      </c>
      <c r="Z8" s="28">
        <v>1604</v>
      </c>
      <c r="AA8" s="28">
        <v>131289</v>
      </c>
      <c r="AB8" s="28">
        <v>6658</v>
      </c>
      <c r="AC8" s="28">
        <v>197202</v>
      </c>
    </row>
    <row r="9" spans="1:29" x14ac:dyDescent="0.3">
      <c r="A9" s="27" t="s">
        <v>260</v>
      </c>
      <c r="B9" s="28">
        <v>4876</v>
      </c>
      <c r="C9" s="28">
        <v>1342</v>
      </c>
      <c r="D9" s="28">
        <v>324</v>
      </c>
      <c r="E9" s="28">
        <v>28</v>
      </c>
      <c r="F9" s="28">
        <v>6570</v>
      </c>
      <c r="G9" s="28">
        <v>39</v>
      </c>
      <c r="H9" s="28">
        <v>6610</v>
      </c>
      <c r="I9" s="28">
        <v>4089</v>
      </c>
      <c r="J9" s="28">
        <v>639</v>
      </c>
      <c r="K9" s="28">
        <v>1596</v>
      </c>
      <c r="L9" s="28">
        <v>6323</v>
      </c>
      <c r="M9" s="28">
        <v>6362</v>
      </c>
      <c r="N9" s="28">
        <v>3004</v>
      </c>
      <c r="O9" s="28">
        <v>153</v>
      </c>
      <c r="P9" s="28">
        <v>871</v>
      </c>
      <c r="Q9" s="28">
        <v>51</v>
      </c>
      <c r="R9" s="28">
        <v>389</v>
      </c>
      <c r="S9" s="28">
        <v>2876</v>
      </c>
      <c r="T9" s="28">
        <v>6256</v>
      </c>
      <c r="U9" s="28">
        <v>1088</v>
      </c>
      <c r="V9" s="28">
        <v>2366</v>
      </c>
      <c r="W9" s="28">
        <v>17054</v>
      </c>
      <c r="X9" s="28">
        <v>29986</v>
      </c>
      <c r="Y9" s="28">
        <v>4321</v>
      </c>
      <c r="Z9" s="28">
        <v>414</v>
      </c>
      <c r="AA9" s="28">
        <v>33893</v>
      </c>
      <c r="AB9" s="28">
        <v>2204</v>
      </c>
      <c r="AC9" s="28">
        <v>153770</v>
      </c>
    </row>
    <row r="10" spans="1:29" x14ac:dyDescent="0.3">
      <c r="A10" s="27" t="s">
        <v>261</v>
      </c>
      <c r="B10" s="28">
        <v>2464</v>
      </c>
      <c r="C10" s="28">
        <v>1212</v>
      </c>
      <c r="D10" s="28">
        <v>238</v>
      </c>
      <c r="E10" s="28">
        <v>20</v>
      </c>
      <c r="F10" s="28">
        <v>3934</v>
      </c>
      <c r="G10" s="28">
        <v>7</v>
      </c>
      <c r="H10" s="28">
        <v>3941</v>
      </c>
      <c r="I10" s="28">
        <v>2071</v>
      </c>
      <c r="J10" s="28">
        <v>323</v>
      </c>
      <c r="K10" s="28">
        <v>808</v>
      </c>
      <c r="L10" s="28">
        <v>3203</v>
      </c>
      <c r="M10" s="28">
        <v>3210</v>
      </c>
      <c r="N10" s="28">
        <v>1522</v>
      </c>
      <c r="O10" s="28">
        <v>78</v>
      </c>
      <c r="P10" s="28">
        <v>441</v>
      </c>
      <c r="Q10" s="28">
        <v>26</v>
      </c>
      <c r="R10" s="28">
        <v>197</v>
      </c>
      <c r="S10" s="28">
        <v>1457</v>
      </c>
      <c r="T10" s="28">
        <v>3169</v>
      </c>
      <c r="U10" s="28">
        <v>551</v>
      </c>
      <c r="V10" s="28">
        <v>1198</v>
      </c>
      <c r="W10" s="28">
        <v>8638</v>
      </c>
      <c r="X10" s="28">
        <v>15781</v>
      </c>
      <c r="Y10" s="28">
        <v>2274</v>
      </c>
      <c r="Z10" s="28">
        <v>218</v>
      </c>
      <c r="AA10" s="28">
        <v>17838</v>
      </c>
      <c r="AB10" s="28">
        <v>1752</v>
      </c>
      <c r="AC10" s="28">
        <v>101799</v>
      </c>
    </row>
    <row r="11" spans="1:29" x14ac:dyDescent="0.3">
      <c r="A11" s="27" t="s">
        <v>262</v>
      </c>
      <c r="B11" s="28">
        <v>7666</v>
      </c>
      <c r="C11" s="28">
        <v>1994</v>
      </c>
      <c r="D11" s="28">
        <v>638</v>
      </c>
      <c r="E11" s="28">
        <v>44</v>
      </c>
      <c r="F11" s="28">
        <v>10343</v>
      </c>
      <c r="G11" s="28">
        <v>1322</v>
      </c>
      <c r="H11" s="28">
        <v>11665</v>
      </c>
      <c r="I11" s="28">
        <v>7917</v>
      </c>
      <c r="J11" s="28">
        <v>1236</v>
      </c>
      <c r="K11" s="28">
        <v>3089</v>
      </c>
      <c r="L11" s="28">
        <v>12243</v>
      </c>
      <c r="M11" s="28">
        <v>13565</v>
      </c>
      <c r="N11" s="28">
        <v>5817</v>
      </c>
      <c r="O11" s="28">
        <v>296</v>
      </c>
      <c r="P11" s="28">
        <v>1686</v>
      </c>
      <c r="Q11" s="28">
        <v>99</v>
      </c>
      <c r="R11" s="28">
        <v>753</v>
      </c>
      <c r="S11" s="28">
        <v>5569</v>
      </c>
      <c r="T11" s="28">
        <v>12113</v>
      </c>
      <c r="U11" s="28">
        <v>2107</v>
      </c>
      <c r="V11" s="28">
        <v>4581</v>
      </c>
      <c r="W11" s="28">
        <v>33021</v>
      </c>
      <c r="X11" s="28">
        <v>56928</v>
      </c>
      <c r="Y11" s="28">
        <v>8203</v>
      </c>
      <c r="Z11" s="28">
        <v>786</v>
      </c>
      <c r="AA11" s="28">
        <v>64345</v>
      </c>
      <c r="AB11" s="28">
        <v>4563</v>
      </c>
      <c r="AC11" s="28">
        <v>141005</v>
      </c>
    </row>
    <row r="12" spans="1:29" x14ac:dyDescent="0.3">
      <c r="A12" s="27" t="s">
        <v>380</v>
      </c>
      <c r="B12" s="28">
        <v>11681</v>
      </c>
      <c r="C12" s="28">
        <v>7620</v>
      </c>
      <c r="D12" s="28">
        <v>945</v>
      </c>
      <c r="E12" s="28">
        <v>36</v>
      </c>
      <c r="F12" s="28">
        <v>20282</v>
      </c>
      <c r="G12" s="28">
        <v>654</v>
      </c>
      <c r="H12" s="28">
        <v>20936</v>
      </c>
      <c r="I12" s="28">
        <v>9613</v>
      </c>
      <c r="J12" s="28">
        <v>1501</v>
      </c>
      <c r="K12" s="28">
        <v>3751</v>
      </c>
      <c r="L12" s="28">
        <v>14865</v>
      </c>
      <c r="M12" s="28">
        <v>15519</v>
      </c>
      <c r="N12" s="28">
        <v>7063</v>
      </c>
      <c r="O12" s="28">
        <v>360</v>
      </c>
      <c r="P12" s="28">
        <v>2047</v>
      </c>
      <c r="Q12" s="28">
        <v>120</v>
      </c>
      <c r="R12" s="28">
        <v>914</v>
      </c>
      <c r="S12" s="28">
        <v>6762</v>
      </c>
      <c r="T12" s="28">
        <v>14708</v>
      </c>
      <c r="U12" s="28">
        <v>2558</v>
      </c>
      <c r="V12" s="28">
        <v>5562</v>
      </c>
      <c r="W12" s="28">
        <v>40095</v>
      </c>
      <c r="X12" s="28">
        <v>75896</v>
      </c>
      <c r="Y12" s="28">
        <v>10936</v>
      </c>
      <c r="Z12" s="28">
        <v>1048</v>
      </c>
      <c r="AA12" s="28">
        <v>85784</v>
      </c>
      <c r="AB12" s="28">
        <v>4846</v>
      </c>
      <c r="AC12" s="28">
        <v>177030</v>
      </c>
    </row>
    <row r="13" spans="1:29" s="2" customFormat="1" x14ac:dyDescent="0.3">
      <c r="A13" s="7" t="s">
        <v>408</v>
      </c>
      <c r="B13" s="8">
        <v>42290</v>
      </c>
      <c r="C13" s="8">
        <v>16288</v>
      </c>
      <c r="D13" s="8">
        <v>2845</v>
      </c>
      <c r="E13" s="8">
        <v>190</v>
      </c>
      <c r="F13" s="8">
        <v>61613</v>
      </c>
      <c r="G13" s="8">
        <v>2618</v>
      </c>
      <c r="H13" s="8">
        <v>64233</v>
      </c>
      <c r="I13" s="8">
        <v>40319</v>
      </c>
      <c r="J13" s="8">
        <v>6296</v>
      </c>
      <c r="K13" s="8">
        <v>15733</v>
      </c>
      <c r="L13" s="8">
        <v>62349</v>
      </c>
      <c r="M13" s="8">
        <v>64968</v>
      </c>
      <c r="N13" s="8">
        <v>29625</v>
      </c>
      <c r="O13" s="8">
        <v>1510</v>
      </c>
      <c r="P13" s="8">
        <v>8587</v>
      </c>
      <c r="Q13" s="8">
        <v>504</v>
      </c>
      <c r="R13" s="8">
        <v>3834</v>
      </c>
      <c r="S13" s="8">
        <v>28361</v>
      </c>
      <c r="T13" s="8">
        <v>61689</v>
      </c>
      <c r="U13" s="8">
        <v>10729</v>
      </c>
      <c r="V13" s="8">
        <v>23328</v>
      </c>
      <c r="W13" s="8">
        <v>168168</v>
      </c>
      <c r="X13" s="8">
        <v>294747</v>
      </c>
      <c r="Y13" s="8">
        <v>42471</v>
      </c>
      <c r="Z13" s="8">
        <v>4070</v>
      </c>
      <c r="AA13" s="8">
        <v>333149</v>
      </c>
      <c r="AB13" s="8">
        <v>20023</v>
      </c>
      <c r="AC13" s="8">
        <f>AVERAGE(AC8:AC12)</f>
        <v>154161.20000000001</v>
      </c>
    </row>
    <row r="14" spans="1:29" x14ac:dyDescent="0.3">
      <c r="A14" s="9" t="s">
        <v>263</v>
      </c>
      <c r="B14" s="10">
        <v>15823</v>
      </c>
      <c r="C14" s="10">
        <v>7714</v>
      </c>
      <c r="D14" s="10">
        <v>2367</v>
      </c>
      <c r="E14" s="10">
        <v>88</v>
      </c>
      <c r="F14" s="10">
        <v>25990</v>
      </c>
      <c r="G14" s="10">
        <v>308</v>
      </c>
      <c r="H14" s="10">
        <v>26299</v>
      </c>
      <c r="I14" s="10">
        <v>43620</v>
      </c>
      <c r="J14" s="10">
        <v>6812</v>
      </c>
      <c r="K14" s="10">
        <v>17022</v>
      </c>
      <c r="L14" s="10">
        <v>67454</v>
      </c>
      <c r="M14" s="10">
        <v>67762</v>
      </c>
      <c r="N14" s="10">
        <v>32050</v>
      </c>
      <c r="O14" s="10">
        <v>1633</v>
      </c>
      <c r="P14" s="10">
        <v>9291</v>
      </c>
      <c r="Q14" s="10">
        <v>547</v>
      </c>
      <c r="R14" s="10">
        <v>4147</v>
      </c>
      <c r="S14" s="10">
        <v>30683</v>
      </c>
      <c r="T14" s="10">
        <v>66739</v>
      </c>
      <c r="U14" s="10">
        <v>11608</v>
      </c>
      <c r="V14" s="10">
        <v>25237</v>
      </c>
      <c r="W14" s="10">
        <v>181935</v>
      </c>
      <c r="X14" s="10">
        <v>275688</v>
      </c>
      <c r="Y14" s="10">
        <v>39723</v>
      </c>
      <c r="Z14" s="10">
        <v>3806</v>
      </c>
      <c r="AA14" s="10">
        <v>311605</v>
      </c>
      <c r="AB14" s="10">
        <v>10462</v>
      </c>
      <c r="AC14" s="10">
        <v>297852</v>
      </c>
    </row>
    <row r="15" spans="1:29" x14ac:dyDescent="0.3">
      <c r="A15" s="9" t="s">
        <v>264</v>
      </c>
      <c r="B15" s="10">
        <v>5466</v>
      </c>
      <c r="C15" s="10">
        <v>4319</v>
      </c>
      <c r="D15" s="10">
        <v>1216</v>
      </c>
      <c r="E15" s="10">
        <v>44</v>
      </c>
      <c r="F15" s="10">
        <v>11044</v>
      </c>
      <c r="G15" s="10">
        <v>76</v>
      </c>
      <c r="H15" s="10">
        <v>11120</v>
      </c>
      <c r="I15" s="10">
        <v>7154</v>
      </c>
      <c r="J15" s="10">
        <v>1117</v>
      </c>
      <c r="K15" s="10">
        <v>2792</v>
      </c>
      <c r="L15" s="10">
        <v>11062</v>
      </c>
      <c r="M15" s="10">
        <v>11138</v>
      </c>
      <c r="N15" s="10">
        <v>5256</v>
      </c>
      <c r="O15" s="10">
        <v>268</v>
      </c>
      <c r="P15" s="10">
        <v>1524</v>
      </c>
      <c r="Q15" s="10">
        <v>90</v>
      </c>
      <c r="R15" s="10">
        <v>680</v>
      </c>
      <c r="S15" s="10">
        <v>5032</v>
      </c>
      <c r="T15" s="10">
        <v>10945</v>
      </c>
      <c r="U15" s="10">
        <v>1904</v>
      </c>
      <c r="V15" s="10">
        <v>4139</v>
      </c>
      <c r="W15" s="10">
        <v>29837</v>
      </c>
      <c r="X15" s="10">
        <v>52019</v>
      </c>
      <c r="Y15" s="10">
        <v>7495</v>
      </c>
      <c r="Z15" s="10">
        <v>718</v>
      </c>
      <c r="AA15" s="10">
        <v>58796</v>
      </c>
      <c r="AB15" s="10">
        <v>3200</v>
      </c>
      <c r="AC15" s="10">
        <v>183720</v>
      </c>
    </row>
    <row r="16" spans="1:29" x14ac:dyDescent="0.3">
      <c r="A16" s="9" t="s">
        <v>265</v>
      </c>
      <c r="B16" s="10">
        <v>8212</v>
      </c>
      <c r="C16" s="10">
        <v>4462</v>
      </c>
      <c r="D16" s="10">
        <v>2191</v>
      </c>
      <c r="E16" s="10">
        <v>23</v>
      </c>
      <c r="F16" s="10">
        <v>14889</v>
      </c>
      <c r="G16" s="10">
        <v>15</v>
      </c>
      <c r="H16" s="10">
        <v>14904</v>
      </c>
      <c r="I16" s="10">
        <v>6790</v>
      </c>
      <c r="J16" s="10">
        <v>1060</v>
      </c>
      <c r="K16" s="10">
        <v>2650</v>
      </c>
      <c r="L16" s="10">
        <v>10500</v>
      </c>
      <c r="M16" s="10">
        <v>10515</v>
      </c>
      <c r="N16" s="10">
        <v>4989</v>
      </c>
      <c r="O16" s="10">
        <v>254</v>
      </c>
      <c r="P16" s="10">
        <v>1446</v>
      </c>
      <c r="Q16" s="10">
        <v>85</v>
      </c>
      <c r="R16" s="10">
        <v>646</v>
      </c>
      <c r="S16" s="10">
        <v>4776</v>
      </c>
      <c r="T16" s="10">
        <v>10389</v>
      </c>
      <c r="U16" s="10">
        <v>1807</v>
      </c>
      <c r="V16" s="10">
        <v>3929</v>
      </c>
      <c r="W16" s="10">
        <v>28321</v>
      </c>
      <c r="X16" s="10">
        <v>53725</v>
      </c>
      <c r="Y16" s="10">
        <v>7741</v>
      </c>
      <c r="Z16" s="10">
        <v>742</v>
      </c>
      <c r="AA16" s="10">
        <v>60724</v>
      </c>
      <c r="AB16" s="10">
        <v>3026</v>
      </c>
      <c r="AC16" s="10">
        <v>200669</v>
      </c>
    </row>
    <row r="17" spans="1:29" x14ac:dyDescent="0.3">
      <c r="A17" s="9" t="s">
        <v>266</v>
      </c>
      <c r="B17" s="10">
        <v>8440</v>
      </c>
      <c r="C17" s="10">
        <v>6744</v>
      </c>
      <c r="D17" s="10">
        <v>1275</v>
      </c>
      <c r="E17" s="10">
        <v>53</v>
      </c>
      <c r="F17" s="10">
        <v>16512</v>
      </c>
      <c r="G17" s="10">
        <v>1719</v>
      </c>
      <c r="H17" s="10">
        <v>18231</v>
      </c>
      <c r="I17" s="10">
        <v>10774</v>
      </c>
      <c r="J17" s="10">
        <v>1683</v>
      </c>
      <c r="K17" s="10">
        <v>4204</v>
      </c>
      <c r="L17" s="10">
        <v>16661</v>
      </c>
      <c r="M17" s="10">
        <v>18380</v>
      </c>
      <c r="N17" s="10">
        <v>7916</v>
      </c>
      <c r="O17" s="10">
        <v>403</v>
      </c>
      <c r="P17" s="10">
        <v>2295</v>
      </c>
      <c r="Q17" s="10">
        <v>135</v>
      </c>
      <c r="R17" s="10">
        <v>1024</v>
      </c>
      <c r="S17" s="10">
        <v>7579</v>
      </c>
      <c r="T17" s="10">
        <v>16485</v>
      </c>
      <c r="U17" s="10">
        <v>2867</v>
      </c>
      <c r="V17" s="10">
        <v>6234</v>
      </c>
      <c r="W17" s="10">
        <v>44938</v>
      </c>
      <c r="X17" s="10">
        <v>79830</v>
      </c>
      <c r="Y17" s="10">
        <v>11502</v>
      </c>
      <c r="Z17" s="10">
        <v>1102</v>
      </c>
      <c r="AA17" s="10">
        <v>90230</v>
      </c>
      <c r="AB17" s="10">
        <v>4661</v>
      </c>
      <c r="AC17" s="10">
        <v>193584</v>
      </c>
    </row>
    <row r="18" spans="1:29" x14ac:dyDescent="0.3">
      <c r="A18" s="9" t="s">
        <v>267</v>
      </c>
      <c r="B18" s="10">
        <v>6112</v>
      </c>
      <c r="C18" s="10">
        <v>4911</v>
      </c>
      <c r="D18" s="10">
        <v>1163</v>
      </c>
      <c r="E18" s="10">
        <v>60</v>
      </c>
      <c r="F18" s="10">
        <v>12247</v>
      </c>
      <c r="G18" s="10">
        <v>1618</v>
      </c>
      <c r="H18" s="10">
        <v>13865</v>
      </c>
      <c r="I18" s="10">
        <v>11807</v>
      </c>
      <c r="J18" s="10">
        <v>1844</v>
      </c>
      <c r="K18" s="10">
        <v>4607</v>
      </c>
      <c r="L18" s="10">
        <v>18258</v>
      </c>
      <c r="M18" s="10">
        <v>19876</v>
      </c>
      <c r="N18" s="10">
        <v>8675</v>
      </c>
      <c r="O18" s="10">
        <v>442</v>
      </c>
      <c r="P18" s="10">
        <v>2515</v>
      </c>
      <c r="Q18" s="10">
        <v>148</v>
      </c>
      <c r="R18" s="10">
        <v>1122</v>
      </c>
      <c r="S18" s="10">
        <v>8305</v>
      </c>
      <c r="T18" s="10">
        <v>18065</v>
      </c>
      <c r="U18" s="10">
        <v>3142</v>
      </c>
      <c r="V18" s="10">
        <v>6831</v>
      </c>
      <c r="W18" s="10">
        <v>49246</v>
      </c>
      <c r="X18" s="10">
        <v>81369</v>
      </c>
      <c r="Y18" s="10">
        <v>11724</v>
      </c>
      <c r="Z18" s="10">
        <v>1123</v>
      </c>
      <c r="AA18" s="10">
        <v>91969</v>
      </c>
      <c r="AB18" s="10">
        <v>4181</v>
      </c>
      <c r="AC18" s="10">
        <v>219946</v>
      </c>
    </row>
    <row r="19" spans="1:29" s="2" customFormat="1" x14ac:dyDescent="0.3">
      <c r="A19" s="12" t="s">
        <v>404</v>
      </c>
      <c r="B19" s="13">
        <v>44053</v>
      </c>
      <c r="C19" s="13">
        <v>28150</v>
      </c>
      <c r="D19" s="13">
        <v>8212</v>
      </c>
      <c r="E19" s="13">
        <v>268</v>
      </c>
      <c r="F19" s="13">
        <v>80682</v>
      </c>
      <c r="G19" s="13">
        <v>3736</v>
      </c>
      <c r="H19" s="13">
        <v>84419</v>
      </c>
      <c r="I19" s="13">
        <v>80145</v>
      </c>
      <c r="J19" s="13">
        <v>12516</v>
      </c>
      <c r="K19" s="13">
        <v>31275</v>
      </c>
      <c r="L19" s="13">
        <v>123935</v>
      </c>
      <c r="M19" s="13">
        <v>127671</v>
      </c>
      <c r="N19" s="13">
        <v>58886</v>
      </c>
      <c r="O19" s="13">
        <v>3000</v>
      </c>
      <c r="P19" s="13">
        <v>17071</v>
      </c>
      <c r="Q19" s="13">
        <v>1005</v>
      </c>
      <c r="R19" s="13">
        <v>7619</v>
      </c>
      <c r="S19" s="13">
        <v>56375</v>
      </c>
      <c r="T19" s="13">
        <v>122623</v>
      </c>
      <c r="U19" s="13">
        <v>21328</v>
      </c>
      <c r="V19" s="13">
        <v>46370</v>
      </c>
      <c r="W19" s="13">
        <v>334277</v>
      </c>
      <c r="X19" s="13">
        <v>542631</v>
      </c>
      <c r="Y19" s="13">
        <v>78185</v>
      </c>
      <c r="Z19" s="13">
        <v>7491</v>
      </c>
      <c r="AA19" s="13">
        <v>613324</v>
      </c>
      <c r="AB19" s="13">
        <v>25530</v>
      </c>
      <c r="AC19" s="13">
        <f>AVERAGE(AC14:AC18)</f>
        <v>219154.2</v>
      </c>
    </row>
    <row r="20" spans="1:29" x14ac:dyDescent="0.3">
      <c r="A20" s="31" t="s">
        <v>268</v>
      </c>
      <c r="B20" s="32">
        <v>4740</v>
      </c>
      <c r="C20" s="32">
        <v>2672</v>
      </c>
      <c r="D20" s="32">
        <v>1108</v>
      </c>
      <c r="E20" s="32">
        <v>32</v>
      </c>
      <c r="F20" s="32">
        <v>8552</v>
      </c>
      <c r="G20" s="32">
        <v>174</v>
      </c>
      <c r="H20" s="32">
        <v>8726</v>
      </c>
      <c r="I20" s="32">
        <v>9709</v>
      </c>
      <c r="J20" s="32">
        <v>1516</v>
      </c>
      <c r="K20" s="32">
        <v>3789</v>
      </c>
      <c r="L20" s="32">
        <v>15013</v>
      </c>
      <c r="M20" s="32">
        <v>15187</v>
      </c>
      <c r="N20" s="32">
        <v>7134</v>
      </c>
      <c r="O20" s="32">
        <v>364</v>
      </c>
      <c r="P20" s="32">
        <v>2068</v>
      </c>
      <c r="Q20" s="32">
        <v>122</v>
      </c>
      <c r="R20" s="32">
        <v>923</v>
      </c>
      <c r="S20" s="32">
        <v>6829</v>
      </c>
      <c r="T20" s="32">
        <v>14854</v>
      </c>
      <c r="U20" s="32">
        <v>2584</v>
      </c>
      <c r="V20" s="32">
        <v>5617</v>
      </c>
      <c r="W20" s="32">
        <v>40494</v>
      </c>
      <c r="X20" s="32">
        <v>64233</v>
      </c>
      <c r="Y20" s="32">
        <v>9255</v>
      </c>
      <c r="Z20" s="32">
        <v>887</v>
      </c>
      <c r="AA20" s="32">
        <v>72602</v>
      </c>
      <c r="AB20" s="32">
        <v>4040</v>
      </c>
      <c r="AC20" s="32">
        <v>179722</v>
      </c>
    </row>
    <row r="21" spans="1:29" x14ac:dyDescent="0.3">
      <c r="A21" s="31" t="s">
        <v>269</v>
      </c>
      <c r="B21" s="32">
        <v>4451</v>
      </c>
      <c r="C21" s="32">
        <v>763</v>
      </c>
      <c r="D21" s="32">
        <v>1505</v>
      </c>
      <c r="E21" s="32">
        <v>29</v>
      </c>
      <c r="F21" s="32">
        <v>6747</v>
      </c>
      <c r="G21" s="32">
        <v>18</v>
      </c>
      <c r="H21" s="32">
        <v>6765</v>
      </c>
      <c r="I21" s="32">
        <v>3147</v>
      </c>
      <c r="J21" s="32">
        <v>491</v>
      </c>
      <c r="K21" s="32">
        <v>1228</v>
      </c>
      <c r="L21" s="32">
        <v>4866</v>
      </c>
      <c r="M21" s="32">
        <v>4884</v>
      </c>
      <c r="N21" s="32">
        <v>2312</v>
      </c>
      <c r="O21" s="32">
        <v>118</v>
      </c>
      <c r="P21" s="32">
        <v>670</v>
      </c>
      <c r="Q21" s="32">
        <v>39</v>
      </c>
      <c r="R21" s="32">
        <v>299</v>
      </c>
      <c r="S21" s="32">
        <v>2214</v>
      </c>
      <c r="T21" s="32">
        <v>4815</v>
      </c>
      <c r="U21" s="32">
        <v>837</v>
      </c>
      <c r="V21" s="32">
        <v>1821</v>
      </c>
      <c r="W21" s="32">
        <v>13126</v>
      </c>
      <c r="X21" s="32">
        <v>24757</v>
      </c>
      <c r="Y21" s="32">
        <v>3567</v>
      </c>
      <c r="Z21" s="32">
        <v>342</v>
      </c>
      <c r="AA21" s="32">
        <v>27982</v>
      </c>
      <c r="AB21" s="32">
        <v>2088</v>
      </c>
      <c r="AC21" s="32">
        <v>134027</v>
      </c>
    </row>
    <row r="22" spans="1:29" x14ac:dyDescent="0.3">
      <c r="A22" s="31" t="s">
        <v>270</v>
      </c>
      <c r="B22" s="32">
        <v>3312</v>
      </c>
      <c r="C22" s="32">
        <v>684</v>
      </c>
      <c r="D22" s="32">
        <v>277</v>
      </c>
      <c r="E22" s="32">
        <v>6</v>
      </c>
      <c r="F22" s="32">
        <v>4279</v>
      </c>
      <c r="G22" s="32">
        <v>506</v>
      </c>
      <c r="H22" s="32">
        <v>4786</v>
      </c>
      <c r="I22" s="32">
        <v>3097</v>
      </c>
      <c r="J22" s="32">
        <v>484</v>
      </c>
      <c r="K22" s="32">
        <v>1209</v>
      </c>
      <c r="L22" s="32">
        <v>4789</v>
      </c>
      <c r="M22" s="32">
        <v>5296</v>
      </c>
      <c r="N22" s="32">
        <v>2275</v>
      </c>
      <c r="O22" s="32">
        <v>116</v>
      </c>
      <c r="P22" s="32">
        <v>660</v>
      </c>
      <c r="Q22" s="32">
        <v>39</v>
      </c>
      <c r="R22" s="32">
        <v>294</v>
      </c>
      <c r="S22" s="32">
        <v>2178</v>
      </c>
      <c r="T22" s="32">
        <v>4738</v>
      </c>
      <c r="U22" s="32">
        <v>824</v>
      </c>
      <c r="V22" s="32">
        <v>1792</v>
      </c>
      <c r="W22" s="32">
        <v>12917</v>
      </c>
      <c r="X22" s="32">
        <v>22492</v>
      </c>
      <c r="Y22" s="32">
        <v>3241</v>
      </c>
      <c r="Z22" s="32">
        <v>311</v>
      </c>
      <c r="AA22" s="32">
        <v>25422</v>
      </c>
      <c r="AB22" s="32">
        <v>1979</v>
      </c>
      <c r="AC22" s="32">
        <v>128431</v>
      </c>
    </row>
    <row r="23" spans="1:29" x14ac:dyDescent="0.3">
      <c r="A23" s="31" t="s">
        <v>271</v>
      </c>
      <c r="B23" s="32">
        <v>2894</v>
      </c>
      <c r="C23" s="32">
        <v>545</v>
      </c>
      <c r="D23" s="32">
        <v>131</v>
      </c>
      <c r="E23" s="32">
        <v>11</v>
      </c>
      <c r="F23" s="32">
        <v>3582</v>
      </c>
      <c r="G23" s="32">
        <v>168</v>
      </c>
      <c r="H23" s="32">
        <v>3750</v>
      </c>
      <c r="I23" s="32">
        <v>1486</v>
      </c>
      <c r="J23" s="32">
        <v>232</v>
      </c>
      <c r="K23" s="32">
        <v>580</v>
      </c>
      <c r="L23" s="32">
        <v>2298</v>
      </c>
      <c r="M23" s="32">
        <v>2466</v>
      </c>
      <c r="N23" s="32">
        <v>1092</v>
      </c>
      <c r="O23" s="32">
        <v>56</v>
      </c>
      <c r="P23" s="32">
        <v>317</v>
      </c>
      <c r="Q23" s="32">
        <v>19</v>
      </c>
      <c r="R23" s="32">
        <v>141</v>
      </c>
      <c r="S23" s="32">
        <v>1045</v>
      </c>
      <c r="T23" s="32">
        <v>2274</v>
      </c>
      <c r="U23" s="32">
        <v>396</v>
      </c>
      <c r="V23" s="32">
        <v>860</v>
      </c>
      <c r="W23" s="32">
        <v>6199</v>
      </c>
      <c r="X23" s="32">
        <v>12247</v>
      </c>
      <c r="Y23" s="32">
        <v>1765</v>
      </c>
      <c r="Z23" s="32">
        <v>169</v>
      </c>
      <c r="AA23" s="32">
        <v>13843</v>
      </c>
      <c r="AB23" s="32">
        <v>1250</v>
      </c>
      <c r="AC23" s="32">
        <v>110768</v>
      </c>
    </row>
    <row r="24" spans="1:29" x14ac:dyDescent="0.3">
      <c r="A24" s="31" t="s">
        <v>272</v>
      </c>
      <c r="B24" s="32">
        <v>3289</v>
      </c>
      <c r="C24" s="32">
        <v>1828</v>
      </c>
      <c r="D24" s="32">
        <v>413</v>
      </c>
      <c r="E24" s="32">
        <v>66</v>
      </c>
      <c r="F24" s="32">
        <v>5595</v>
      </c>
      <c r="G24" s="32">
        <v>654</v>
      </c>
      <c r="H24" s="32">
        <v>6249</v>
      </c>
      <c r="I24" s="32">
        <v>4090</v>
      </c>
      <c r="J24" s="32">
        <v>639</v>
      </c>
      <c r="K24" s="32">
        <v>1596</v>
      </c>
      <c r="L24" s="32">
        <v>6325</v>
      </c>
      <c r="M24" s="32">
        <v>6979</v>
      </c>
      <c r="N24" s="32">
        <v>3005</v>
      </c>
      <c r="O24" s="32">
        <v>153</v>
      </c>
      <c r="P24" s="32">
        <v>871</v>
      </c>
      <c r="Q24" s="32">
        <v>51</v>
      </c>
      <c r="R24" s="32">
        <v>389</v>
      </c>
      <c r="S24" s="32">
        <v>2877</v>
      </c>
      <c r="T24" s="32">
        <v>6258</v>
      </c>
      <c r="U24" s="32">
        <v>1088</v>
      </c>
      <c r="V24" s="32">
        <v>2366</v>
      </c>
      <c r="W24" s="32">
        <v>17059</v>
      </c>
      <c r="X24" s="32">
        <v>29633</v>
      </c>
      <c r="Y24" s="32">
        <v>4270</v>
      </c>
      <c r="Z24" s="32">
        <v>409</v>
      </c>
      <c r="AA24" s="32">
        <v>33494</v>
      </c>
      <c r="AB24" s="32">
        <v>2757</v>
      </c>
      <c r="AC24" s="32">
        <v>121502</v>
      </c>
    </row>
    <row r="25" spans="1:29" x14ac:dyDescent="0.3">
      <c r="A25" s="31" t="s">
        <v>273</v>
      </c>
      <c r="B25" s="32">
        <v>5064</v>
      </c>
      <c r="C25" s="32">
        <v>1488</v>
      </c>
      <c r="D25" s="32">
        <v>1103</v>
      </c>
      <c r="E25" s="32">
        <v>64</v>
      </c>
      <c r="F25" s="32">
        <v>7719</v>
      </c>
      <c r="G25" s="32">
        <v>513</v>
      </c>
      <c r="H25" s="32">
        <v>8232</v>
      </c>
      <c r="I25" s="32">
        <v>6092</v>
      </c>
      <c r="J25" s="32">
        <v>951</v>
      </c>
      <c r="K25" s="32">
        <v>2377</v>
      </c>
      <c r="L25" s="32">
        <v>9421</v>
      </c>
      <c r="M25" s="32">
        <v>9934</v>
      </c>
      <c r="N25" s="32">
        <v>4476</v>
      </c>
      <c r="O25" s="32">
        <v>228</v>
      </c>
      <c r="P25" s="32">
        <v>1298</v>
      </c>
      <c r="Q25" s="32">
        <v>76</v>
      </c>
      <c r="R25" s="32">
        <v>579</v>
      </c>
      <c r="S25" s="32">
        <v>4286</v>
      </c>
      <c r="T25" s="32">
        <v>9321</v>
      </c>
      <c r="U25" s="32">
        <v>1621</v>
      </c>
      <c r="V25" s="32">
        <v>3525</v>
      </c>
      <c r="W25" s="32">
        <v>25411</v>
      </c>
      <c r="X25" s="32">
        <v>43064</v>
      </c>
      <c r="Y25" s="32">
        <v>6205</v>
      </c>
      <c r="Z25" s="32">
        <v>595</v>
      </c>
      <c r="AA25" s="32">
        <v>48675</v>
      </c>
      <c r="AB25" s="32">
        <v>3610</v>
      </c>
      <c r="AC25" s="32">
        <v>134827</v>
      </c>
    </row>
    <row r="26" spans="1:29" x14ac:dyDescent="0.3">
      <c r="A26" s="31" t="s">
        <v>274</v>
      </c>
      <c r="B26" s="32">
        <v>3648</v>
      </c>
      <c r="C26" s="32">
        <v>1587</v>
      </c>
      <c r="D26" s="32">
        <v>445</v>
      </c>
      <c r="E26" s="32">
        <v>15</v>
      </c>
      <c r="F26" s="32">
        <v>5696</v>
      </c>
      <c r="G26" s="32">
        <v>238</v>
      </c>
      <c r="H26" s="32">
        <v>5934</v>
      </c>
      <c r="I26" s="32">
        <v>2567</v>
      </c>
      <c r="J26" s="32">
        <v>401</v>
      </c>
      <c r="K26" s="32">
        <v>1002</v>
      </c>
      <c r="L26" s="32">
        <v>3970</v>
      </c>
      <c r="M26" s="32">
        <v>4208</v>
      </c>
      <c r="N26" s="32">
        <v>1886</v>
      </c>
      <c r="O26" s="32">
        <v>96</v>
      </c>
      <c r="P26" s="32">
        <v>547</v>
      </c>
      <c r="Q26" s="32">
        <v>32</v>
      </c>
      <c r="R26" s="32">
        <v>244</v>
      </c>
      <c r="S26" s="32">
        <v>1806</v>
      </c>
      <c r="T26" s="32">
        <v>3928</v>
      </c>
      <c r="U26" s="32">
        <v>683</v>
      </c>
      <c r="V26" s="32">
        <v>1485</v>
      </c>
      <c r="W26" s="32">
        <v>10707</v>
      </c>
      <c r="X26" s="32">
        <v>20610</v>
      </c>
      <c r="Y26" s="32">
        <v>2970</v>
      </c>
      <c r="Z26" s="32">
        <v>285</v>
      </c>
      <c r="AA26" s="32">
        <v>23296</v>
      </c>
      <c r="AB26" s="32">
        <v>1763</v>
      </c>
      <c r="AC26" s="32">
        <v>132172</v>
      </c>
    </row>
    <row r="27" spans="1:29" x14ac:dyDescent="0.3">
      <c r="A27" s="31" t="s">
        <v>275</v>
      </c>
      <c r="B27" s="32">
        <v>3670</v>
      </c>
      <c r="C27" s="32">
        <v>1205</v>
      </c>
      <c r="D27" s="32">
        <v>2855</v>
      </c>
      <c r="E27" s="32">
        <v>66</v>
      </c>
      <c r="F27" s="32">
        <v>7796</v>
      </c>
      <c r="G27" s="32">
        <v>357</v>
      </c>
      <c r="H27" s="32">
        <v>8153</v>
      </c>
      <c r="I27" s="32">
        <v>4540</v>
      </c>
      <c r="J27" s="32">
        <v>709</v>
      </c>
      <c r="K27" s="32">
        <v>1772</v>
      </c>
      <c r="L27" s="32">
        <v>7020</v>
      </c>
      <c r="M27" s="32">
        <v>7378</v>
      </c>
      <c r="N27" s="32">
        <v>3336</v>
      </c>
      <c r="O27" s="32">
        <v>170</v>
      </c>
      <c r="P27" s="32">
        <v>967</v>
      </c>
      <c r="Q27" s="32">
        <v>57</v>
      </c>
      <c r="R27" s="32">
        <v>432</v>
      </c>
      <c r="S27" s="32">
        <v>3193</v>
      </c>
      <c r="T27" s="32">
        <v>6946</v>
      </c>
      <c r="U27" s="32">
        <v>1208</v>
      </c>
      <c r="V27" s="32">
        <v>2627</v>
      </c>
      <c r="W27" s="32">
        <v>18935</v>
      </c>
      <c r="X27" s="32">
        <v>34109</v>
      </c>
      <c r="Y27" s="32">
        <v>4915</v>
      </c>
      <c r="Z27" s="32">
        <v>471</v>
      </c>
      <c r="AA27" s="32">
        <v>38553</v>
      </c>
      <c r="AB27" s="32">
        <v>2631</v>
      </c>
      <c r="AC27" s="32">
        <v>146507</v>
      </c>
    </row>
    <row r="28" spans="1:29" s="2" customFormat="1" x14ac:dyDescent="0.3">
      <c r="A28" s="14" t="s">
        <v>403</v>
      </c>
      <c r="B28" s="15">
        <v>31068</v>
      </c>
      <c r="C28" s="15">
        <v>10772</v>
      </c>
      <c r="D28" s="15">
        <v>7837</v>
      </c>
      <c r="E28" s="15">
        <v>289</v>
      </c>
      <c r="F28" s="15">
        <v>49966</v>
      </c>
      <c r="G28" s="15">
        <v>2628</v>
      </c>
      <c r="H28" s="15">
        <v>52595</v>
      </c>
      <c r="I28" s="15">
        <v>34728</v>
      </c>
      <c r="J28" s="15">
        <v>5423</v>
      </c>
      <c r="K28" s="15">
        <v>13553</v>
      </c>
      <c r="L28" s="15">
        <v>53702</v>
      </c>
      <c r="M28" s="15">
        <v>56332</v>
      </c>
      <c r="N28" s="15">
        <v>25516</v>
      </c>
      <c r="O28" s="15">
        <v>1301</v>
      </c>
      <c r="P28" s="15">
        <v>7398</v>
      </c>
      <c r="Q28" s="15">
        <v>435</v>
      </c>
      <c r="R28" s="15">
        <v>3301</v>
      </c>
      <c r="S28" s="15">
        <v>24428</v>
      </c>
      <c r="T28" s="15">
        <v>53134</v>
      </c>
      <c r="U28" s="15">
        <v>9241</v>
      </c>
      <c r="V28" s="15">
        <v>20093</v>
      </c>
      <c r="W28" s="15">
        <v>144848</v>
      </c>
      <c r="X28" s="15">
        <v>251145</v>
      </c>
      <c r="Y28" s="15">
        <v>36188</v>
      </c>
      <c r="Z28" s="15">
        <v>3469</v>
      </c>
      <c r="AA28" s="15">
        <v>283867</v>
      </c>
      <c r="AB28" s="15">
        <v>20118</v>
      </c>
      <c r="AC28" s="15">
        <f>AVERAGE(AC20:AC27)</f>
        <v>135994.5</v>
      </c>
    </row>
    <row r="29" spans="1:29" x14ac:dyDescent="0.3">
      <c r="A29" s="34" t="s">
        <v>276</v>
      </c>
      <c r="B29" s="35">
        <v>4230</v>
      </c>
      <c r="C29" s="35">
        <v>806</v>
      </c>
      <c r="D29" s="35">
        <v>387</v>
      </c>
      <c r="E29" s="35">
        <v>23</v>
      </c>
      <c r="F29" s="35">
        <v>5447</v>
      </c>
      <c r="G29" s="35">
        <v>247</v>
      </c>
      <c r="H29" s="35">
        <v>5693</v>
      </c>
      <c r="I29" s="35">
        <v>3474</v>
      </c>
      <c r="J29" s="35">
        <v>543</v>
      </c>
      <c r="K29" s="35">
        <v>1356</v>
      </c>
      <c r="L29" s="35">
        <v>5372</v>
      </c>
      <c r="M29" s="35">
        <v>5619</v>
      </c>
      <c r="N29" s="35">
        <v>2552</v>
      </c>
      <c r="O29" s="35">
        <v>130</v>
      </c>
      <c r="P29" s="35">
        <v>740</v>
      </c>
      <c r="Q29" s="35">
        <v>44</v>
      </c>
      <c r="R29" s="35">
        <v>330</v>
      </c>
      <c r="S29" s="35">
        <v>2444</v>
      </c>
      <c r="T29" s="35">
        <v>5315</v>
      </c>
      <c r="U29" s="35">
        <v>924</v>
      </c>
      <c r="V29" s="35">
        <v>2010</v>
      </c>
      <c r="W29" s="35">
        <v>14489</v>
      </c>
      <c r="X29" s="35">
        <v>25555</v>
      </c>
      <c r="Y29" s="35">
        <v>3682</v>
      </c>
      <c r="Z29" s="35">
        <v>353</v>
      </c>
      <c r="AA29" s="35">
        <v>28884</v>
      </c>
      <c r="AB29" s="35">
        <v>2762</v>
      </c>
      <c r="AC29" s="35">
        <v>104594</v>
      </c>
    </row>
    <row r="30" spans="1:29" x14ac:dyDescent="0.3">
      <c r="A30" s="34" t="s">
        <v>277</v>
      </c>
      <c r="B30" s="35">
        <v>3380</v>
      </c>
      <c r="C30" s="35">
        <v>363</v>
      </c>
      <c r="D30" s="35">
        <v>240</v>
      </c>
      <c r="E30" s="35">
        <v>28</v>
      </c>
      <c r="F30" s="35">
        <v>4011</v>
      </c>
      <c r="G30" s="35">
        <v>186</v>
      </c>
      <c r="H30" s="35">
        <v>4197</v>
      </c>
      <c r="I30" s="35">
        <v>3907</v>
      </c>
      <c r="J30" s="35">
        <v>610</v>
      </c>
      <c r="K30" s="35">
        <v>1525</v>
      </c>
      <c r="L30" s="35">
        <v>6042</v>
      </c>
      <c r="M30" s="35">
        <v>6228</v>
      </c>
      <c r="N30" s="35">
        <v>2871</v>
      </c>
      <c r="O30" s="35">
        <v>146</v>
      </c>
      <c r="P30" s="35">
        <v>832</v>
      </c>
      <c r="Q30" s="35">
        <v>49</v>
      </c>
      <c r="R30" s="35">
        <v>371</v>
      </c>
      <c r="S30" s="35">
        <v>2749</v>
      </c>
      <c r="T30" s="35">
        <v>5978</v>
      </c>
      <c r="U30" s="35">
        <v>1040</v>
      </c>
      <c r="V30" s="35">
        <v>2261</v>
      </c>
      <c r="W30" s="35">
        <v>16297</v>
      </c>
      <c r="X30" s="35">
        <v>26536</v>
      </c>
      <c r="Y30" s="35">
        <v>3824</v>
      </c>
      <c r="Z30" s="35">
        <v>366</v>
      </c>
      <c r="AA30" s="35">
        <v>29994</v>
      </c>
      <c r="AB30" s="35">
        <v>1972</v>
      </c>
      <c r="AC30" s="35">
        <v>152100</v>
      </c>
    </row>
    <row r="31" spans="1:29" x14ac:dyDescent="0.3">
      <c r="A31" s="34" t="s">
        <v>278</v>
      </c>
      <c r="B31" s="35">
        <v>2219</v>
      </c>
      <c r="C31" s="35">
        <v>344</v>
      </c>
      <c r="D31" s="35">
        <v>165</v>
      </c>
      <c r="E31" s="35">
        <v>30</v>
      </c>
      <c r="F31" s="35">
        <v>2758</v>
      </c>
      <c r="G31" s="35">
        <v>159</v>
      </c>
      <c r="H31" s="35">
        <v>2916</v>
      </c>
      <c r="I31" s="35">
        <v>1394</v>
      </c>
      <c r="J31" s="35">
        <v>218</v>
      </c>
      <c r="K31" s="35">
        <v>544</v>
      </c>
      <c r="L31" s="35">
        <v>2156</v>
      </c>
      <c r="M31" s="35">
        <v>2315</v>
      </c>
      <c r="N31" s="35">
        <v>1024</v>
      </c>
      <c r="O31" s="35">
        <v>52</v>
      </c>
      <c r="P31" s="35">
        <v>297</v>
      </c>
      <c r="Q31" s="35">
        <v>17</v>
      </c>
      <c r="R31" s="35">
        <v>133</v>
      </c>
      <c r="S31" s="35">
        <v>981</v>
      </c>
      <c r="T31" s="35">
        <v>2133</v>
      </c>
      <c r="U31" s="35">
        <v>371</v>
      </c>
      <c r="V31" s="35">
        <v>807</v>
      </c>
      <c r="W31" s="35">
        <v>5814</v>
      </c>
      <c r="X31" s="35">
        <v>10886</v>
      </c>
      <c r="Y31" s="35">
        <v>1569</v>
      </c>
      <c r="Z31" s="35">
        <v>150</v>
      </c>
      <c r="AA31" s="35">
        <v>12305</v>
      </c>
      <c r="AB31" s="35">
        <v>1274</v>
      </c>
      <c r="AC31" s="35">
        <v>96596</v>
      </c>
    </row>
    <row r="32" spans="1:29" x14ac:dyDescent="0.3">
      <c r="A32" s="34" t="s">
        <v>279</v>
      </c>
      <c r="B32" s="35">
        <v>5220</v>
      </c>
      <c r="C32" s="35">
        <v>1027</v>
      </c>
      <c r="D32" s="35">
        <v>926</v>
      </c>
      <c r="E32" s="35">
        <v>49</v>
      </c>
      <c r="F32" s="35">
        <v>7223</v>
      </c>
      <c r="G32" s="35">
        <v>487</v>
      </c>
      <c r="H32" s="35">
        <v>7709</v>
      </c>
      <c r="I32" s="35">
        <v>5514</v>
      </c>
      <c r="J32" s="35">
        <v>861</v>
      </c>
      <c r="K32" s="35">
        <v>2152</v>
      </c>
      <c r="L32" s="35">
        <v>8527</v>
      </c>
      <c r="M32" s="35">
        <v>9013</v>
      </c>
      <c r="N32" s="35">
        <v>4051</v>
      </c>
      <c r="O32" s="35">
        <v>206</v>
      </c>
      <c r="P32" s="35">
        <v>1174</v>
      </c>
      <c r="Q32" s="35">
        <v>69</v>
      </c>
      <c r="R32" s="35">
        <v>524</v>
      </c>
      <c r="S32" s="35">
        <v>3879</v>
      </c>
      <c r="T32" s="35">
        <v>8436</v>
      </c>
      <c r="U32" s="35">
        <v>1467</v>
      </c>
      <c r="V32" s="35">
        <v>3190</v>
      </c>
      <c r="W32" s="35">
        <v>22998</v>
      </c>
      <c r="X32" s="35">
        <v>39234</v>
      </c>
      <c r="Y32" s="35">
        <v>5653</v>
      </c>
      <c r="Z32" s="35">
        <v>542</v>
      </c>
      <c r="AA32" s="35">
        <v>44345</v>
      </c>
      <c r="AB32" s="35">
        <v>3129</v>
      </c>
      <c r="AC32" s="35">
        <v>141736</v>
      </c>
    </row>
    <row r="33" spans="1:29" x14ac:dyDescent="0.3">
      <c r="A33" s="34" t="s">
        <v>280</v>
      </c>
      <c r="B33" s="35">
        <v>3159</v>
      </c>
      <c r="C33" s="35">
        <v>749</v>
      </c>
      <c r="D33" s="35">
        <v>1569</v>
      </c>
      <c r="E33" s="35">
        <v>81</v>
      </c>
      <c r="F33" s="35">
        <v>5558</v>
      </c>
      <c r="G33" s="35">
        <v>1391</v>
      </c>
      <c r="H33" s="35">
        <v>6949</v>
      </c>
      <c r="I33" s="35">
        <v>4053</v>
      </c>
      <c r="J33" s="35">
        <v>633</v>
      </c>
      <c r="K33" s="35">
        <v>1582</v>
      </c>
      <c r="L33" s="35">
        <v>6267</v>
      </c>
      <c r="M33" s="35">
        <v>7659</v>
      </c>
      <c r="N33" s="35">
        <v>2978</v>
      </c>
      <c r="O33" s="35">
        <v>152</v>
      </c>
      <c r="P33" s="35">
        <v>863</v>
      </c>
      <c r="Q33" s="35">
        <v>51</v>
      </c>
      <c r="R33" s="35">
        <v>385</v>
      </c>
      <c r="S33" s="35">
        <v>2851</v>
      </c>
      <c r="T33" s="35">
        <v>6201</v>
      </c>
      <c r="U33" s="35">
        <v>1079</v>
      </c>
      <c r="V33" s="35">
        <v>2345</v>
      </c>
      <c r="W33" s="35">
        <v>16904</v>
      </c>
      <c r="X33" s="35">
        <v>30121</v>
      </c>
      <c r="Y33" s="35">
        <v>4340</v>
      </c>
      <c r="Z33" s="35">
        <v>416</v>
      </c>
      <c r="AA33" s="35">
        <v>34045</v>
      </c>
      <c r="AB33" s="35">
        <v>2961</v>
      </c>
      <c r="AC33" s="35">
        <v>114967</v>
      </c>
    </row>
    <row r="34" spans="1:29" s="2" customFormat="1" x14ac:dyDescent="0.3">
      <c r="A34" s="16" t="s">
        <v>407</v>
      </c>
      <c r="B34" s="17">
        <v>18208</v>
      </c>
      <c r="C34" s="17">
        <v>3289</v>
      </c>
      <c r="D34" s="17">
        <v>3287</v>
      </c>
      <c r="E34" s="17">
        <v>211</v>
      </c>
      <c r="F34" s="17">
        <v>24997</v>
      </c>
      <c r="G34" s="17">
        <v>2470</v>
      </c>
      <c r="H34" s="17">
        <v>27464</v>
      </c>
      <c r="I34" s="17">
        <v>18342</v>
      </c>
      <c r="J34" s="17">
        <v>2865</v>
      </c>
      <c r="K34" s="17">
        <v>7159</v>
      </c>
      <c r="L34" s="17">
        <v>28364</v>
      </c>
      <c r="M34" s="17">
        <v>30834</v>
      </c>
      <c r="N34" s="17">
        <v>13476</v>
      </c>
      <c r="O34" s="17">
        <v>686</v>
      </c>
      <c r="P34" s="17">
        <v>3906</v>
      </c>
      <c r="Q34" s="17">
        <v>230</v>
      </c>
      <c r="R34" s="17">
        <v>1743</v>
      </c>
      <c r="S34" s="17">
        <v>12904</v>
      </c>
      <c r="T34" s="17">
        <v>28063</v>
      </c>
      <c r="U34" s="17">
        <v>4881</v>
      </c>
      <c r="V34" s="17">
        <v>10613</v>
      </c>
      <c r="W34" s="17">
        <v>76502</v>
      </c>
      <c r="X34" s="17">
        <v>132332</v>
      </c>
      <c r="Y34" s="17">
        <v>19068</v>
      </c>
      <c r="Z34" s="17">
        <v>1827</v>
      </c>
      <c r="AA34" s="17">
        <v>149573</v>
      </c>
      <c r="AB34" s="17">
        <v>12098</v>
      </c>
      <c r="AC34" s="17">
        <f>AVERAGE(AC29:AC33)</f>
        <v>121998.6</v>
      </c>
    </row>
    <row r="35" spans="1:29" x14ac:dyDescent="0.3">
      <c r="A35" s="20" t="s">
        <v>281</v>
      </c>
      <c r="B35" s="21">
        <v>2989</v>
      </c>
      <c r="C35" s="21">
        <v>482</v>
      </c>
      <c r="D35" s="21">
        <v>1216</v>
      </c>
      <c r="E35" s="21">
        <v>24</v>
      </c>
      <c r="F35" s="21">
        <v>4711</v>
      </c>
      <c r="G35" s="21">
        <v>647</v>
      </c>
      <c r="H35" s="21">
        <v>5359</v>
      </c>
      <c r="I35" s="21">
        <v>2820</v>
      </c>
      <c r="J35" s="21">
        <v>440</v>
      </c>
      <c r="K35" s="21">
        <v>1100</v>
      </c>
      <c r="L35" s="21">
        <v>4361</v>
      </c>
      <c r="M35" s="21">
        <v>5008</v>
      </c>
      <c r="N35" s="21">
        <v>2072</v>
      </c>
      <c r="O35" s="21">
        <v>106</v>
      </c>
      <c r="P35" s="21">
        <v>601</v>
      </c>
      <c r="Q35" s="21">
        <v>35</v>
      </c>
      <c r="R35" s="21">
        <v>268</v>
      </c>
      <c r="S35" s="21">
        <v>1984</v>
      </c>
      <c r="T35" s="21">
        <v>4314</v>
      </c>
      <c r="U35" s="21">
        <v>750</v>
      </c>
      <c r="V35" s="21">
        <v>1631</v>
      </c>
      <c r="W35" s="21">
        <v>11761</v>
      </c>
      <c r="X35" s="21">
        <v>21481</v>
      </c>
      <c r="Y35" s="21">
        <v>3095</v>
      </c>
      <c r="Z35" s="21">
        <v>297</v>
      </c>
      <c r="AA35" s="21">
        <v>24279</v>
      </c>
      <c r="AB35" s="21">
        <v>1404</v>
      </c>
      <c r="AC35" s="21">
        <v>172881</v>
      </c>
    </row>
    <row r="36" spans="1:29" x14ac:dyDescent="0.3">
      <c r="A36" s="20" t="s">
        <v>282</v>
      </c>
      <c r="B36" s="21">
        <v>4749</v>
      </c>
      <c r="C36" s="21">
        <v>916</v>
      </c>
      <c r="D36" s="21">
        <v>1158</v>
      </c>
      <c r="E36" s="21">
        <v>96</v>
      </c>
      <c r="F36" s="21">
        <v>6919</v>
      </c>
      <c r="G36" s="21">
        <v>1511</v>
      </c>
      <c r="H36" s="21">
        <v>8431</v>
      </c>
      <c r="I36" s="21">
        <v>19025</v>
      </c>
      <c r="J36" s="21">
        <v>2971</v>
      </c>
      <c r="K36" s="21">
        <v>7424</v>
      </c>
      <c r="L36" s="21">
        <v>29421</v>
      </c>
      <c r="M36" s="21">
        <v>30932</v>
      </c>
      <c r="N36" s="21">
        <v>13979</v>
      </c>
      <c r="O36" s="21">
        <v>712</v>
      </c>
      <c r="P36" s="21">
        <v>4052</v>
      </c>
      <c r="Q36" s="21">
        <v>238</v>
      </c>
      <c r="R36" s="21">
        <v>1809</v>
      </c>
      <c r="S36" s="21">
        <v>13383</v>
      </c>
      <c r="T36" s="21">
        <v>29109</v>
      </c>
      <c r="U36" s="21">
        <v>5063</v>
      </c>
      <c r="V36" s="21">
        <v>11008</v>
      </c>
      <c r="W36" s="21">
        <v>79354</v>
      </c>
      <c r="X36" s="21">
        <v>117205</v>
      </c>
      <c r="Y36" s="21">
        <v>16888</v>
      </c>
      <c r="Z36" s="21">
        <v>1618</v>
      </c>
      <c r="AA36" s="21">
        <v>132475</v>
      </c>
      <c r="AB36" s="21">
        <v>5199</v>
      </c>
      <c r="AC36" s="21">
        <v>254822</v>
      </c>
    </row>
    <row r="37" spans="1:29" x14ac:dyDescent="0.3">
      <c r="A37" s="20" t="s">
        <v>283</v>
      </c>
      <c r="B37" s="21">
        <v>1540</v>
      </c>
      <c r="C37" s="21">
        <v>353</v>
      </c>
      <c r="D37" s="21">
        <v>1108</v>
      </c>
      <c r="E37" s="21">
        <v>81</v>
      </c>
      <c r="F37" s="21">
        <v>3082</v>
      </c>
      <c r="G37" s="21">
        <v>558</v>
      </c>
      <c r="H37" s="21">
        <v>3640</v>
      </c>
      <c r="I37" s="21">
        <v>2133</v>
      </c>
      <c r="J37" s="21">
        <v>333</v>
      </c>
      <c r="K37" s="21">
        <v>832</v>
      </c>
      <c r="L37" s="21">
        <v>3298</v>
      </c>
      <c r="M37" s="21">
        <v>3856</v>
      </c>
      <c r="N37" s="21">
        <v>1567</v>
      </c>
      <c r="O37" s="21">
        <v>80</v>
      </c>
      <c r="P37" s="21">
        <v>454</v>
      </c>
      <c r="Q37" s="21">
        <v>27</v>
      </c>
      <c r="R37" s="21">
        <v>203</v>
      </c>
      <c r="S37" s="21">
        <v>1500</v>
      </c>
      <c r="T37" s="21">
        <v>3263</v>
      </c>
      <c r="U37" s="21">
        <v>568</v>
      </c>
      <c r="V37" s="21">
        <v>1234</v>
      </c>
      <c r="W37" s="21">
        <v>8895</v>
      </c>
      <c r="X37" s="21">
        <v>15833</v>
      </c>
      <c r="Y37" s="21">
        <v>2281</v>
      </c>
      <c r="Z37" s="21">
        <v>219</v>
      </c>
      <c r="AA37" s="21">
        <v>17895</v>
      </c>
      <c r="AB37" s="21">
        <v>1280</v>
      </c>
      <c r="AC37" s="21">
        <v>139861</v>
      </c>
    </row>
    <row r="38" spans="1:29" x14ac:dyDescent="0.3">
      <c r="A38" s="20" t="s">
        <v>284</v>
      </c>
      <c r="B38" s="21">
        <v>1467</v>
      </c>
      <c r="C38" s="21">
        <v>298</v>
      </c>
      <c r="D38" s="21">
        <v>428</v>
      </c>
      <c r="E38" s="21">
        <v>82</v>
      </c>
      <c r="F38" s="21">
        <v>2274</v>
      </c>
      <c r="G38" s="21">
        <v>1696</v>
      </c>
      <c r="H38" s="21">
        <v>3970</v>
      </c>
      <c r="I38" s="21">
        <v>2259</v>
      </c>
      <c r="J38" s="21">
        <v>353</v>
      </c>
      <c r="K38" s="21">
        <v>882</v>
      </c>
      <c r="L38" s="21">
        <v>3494</v>
      </c>
      <c r="M38" s="21">
        <v>5190</v>
      </c>
      <c r="N38" s="21">
        <v>1660</v>
      </c>
      <c r="O38" s="21">
        <v>85</v>
      </c>
      <c r="P38" s="21">
        <v>481</v>
      </c>
      <c r="Q38" s="21">
        <v>28</v>
      </c>
      <c r="R38" s="21">
        <v>215</v>
      </c>
      <c r="S38" s="21">
        <v>1589</v>
      </c>
      <c r="T38" s="21">
        <v>3457</v>
      </c>
      <c r="U38" s="21">
        <v>601</v>
      </c>
      <c r="V38" s="21">
        <v>1307</v>
      </c>
      <c r="W38" s="21">
        <v>9424</v>
      </c>
      <c r="X38" s="21">
        <v>16888</v>
      </c>
      <c r="Y38" s="21">
        <v>2433</v>
      </c>
      <c r="Z38" s="21">
        <v>233</v>
      </c>
      <c r="AA38" s="21">
        <v>19088</v>
      </c>
      <c r="AB38" s="21">
        <v>1406</v>
      </c>
      <c r="AC38" s="21">
        <v>135722</v>
      </c>
    </row>
    <row r="39" spans="1:29" x14ac:dyDescent="0.3">
      <c r="A39" s="20" t="s">
        <v>285</v>
      </c>
      <c r="B39" s="21">
        <v>2659</v>
      </c>
      <c r="C39" s="21">
        <v>485</v>
      </c>
      <c r="D39" s="21">
        <v>2823</v>
      </c>
      <c r="E39" s="21">
        <v>134</v>
      </c>
      <c r="F39" s="21">
        <v>6100</v>
      </c>
      <c r="G39" s="21">
        <v>2631</v>
      </c>
      <c r="H39" s="21">
        <v>8731</v>
      </c>
      <c r="I39" s="21">
        <v>4823</v>
      </c>
      <c r="J39" s="21">
        <v>753</v>
      </c>
      <c r="K39" s="21">
        <v>1882</v>
      </c>
      <c r="L39" s="21">
        <v>7458</v>
      </c>
      <c r="M39" s="21">
        <v>10088</v>
      </c>
      <c r="N39" s="21">
        <v>3544</v>
      </c>
      <c r="O39" s="21">
        <v>181</v>
      </c>
      <c r="P39" s="21">
        <v>1027</v>
      </c>
      <c r="Q39" s="21">
        <v>60</v>
      </c>
      <c r="R39" s="21">
        <v>458</v>
      </c>
      <c r="S39" s="21">
        <v>3392</v>
      </c>
      <c r="T39" s="21">
        <v>7379</v>
      </c>
      <c r="U39" s="21">
        <v>1283</v>
      </c>
      <c r="V39" s="21">
        <v>2790</v>
      </c>
      <c r="W39" s="21">
        <v>20115</v>
      </c>
      <c r="X39" s="21">
        <v>36304</v>
      </c>
      <c r="Y39" s="21">
        <v>5231</v>
      </c>
      <c r="Z39" s="21">
        <v>501</v>
      </c>
      <c r="AA39" s="21">
        <v>41034</v>
      </c>
      <c r="AB39" s="21">
        <v>2386</v>
      </c>
      <c r="AC39" s="21">
        <v>171980</v>
      </c>
    </row>
    <row r="40" spans="1:29" x14ac:dyDescent="0.3">
      <c r="A40" s="20" t="s">
        <v>286</v>
      </c>
      <c r="B40" s="21">
        <v>1040</v>
      </c>
      <c r="C40" s="21">
        <v>457</v>
      </c>
      <c r="D40" s="21">
        <v>823</v>
      </c>
      <c r="E40" s="21">
        <v>51</v>
      </c>
      <c r="F40" s="21">
        <v>2370</v>
      </c>
      <c r="G40" s="21">
        <v>7</v>
      </c>
      <c r="H40" s="21">
        <v>2377</v>
      </c>
      <c r="I40" s="21">
        <v>1446</v>
      </c>
      <c r="J40" s="21">
        <v>226</v>
      </c>
      <c r="K40" s="21">
        <v>564</v>
      </c>
      <c r="L40" s="21">
        <v>2236</v>
      </c>
      <c r="M40" s="21">
        <v>2243</v>
      </c>
      <c r="N40" s="21">
        <v>1063</v>
      </c>
      <c r="O40" s="21">
        <v>54</v>
      </c>
      <c r="P40" s="21">
        <v>308</v>
      </c>
      <c r="Q40" s="21">
        <v>18</v>
      </c>
      <c r="R40" s="21">
        <v>137</v>
      </c>
      <c r="S40" s="21">
        <v>1017</v>
      </c>
      <c r="T40" s="21">
        <v>2213</v>
      </c>
      <c r="U40" s="21">
        <v>385</v>
      </c>
      <c r="V40" s="21">
        <v>837</v>
      </c>
      <c r="W40" s="21">
        <v>6032</v>
      </c>
      <c r="X40" s="21">
        <v>10645</v>
      </c>
      <c r="Y40" s="21">
        <v>1534</v>
      </c>
      <c r="Z40" s="21">
        <v>147</v>
      </c>
      <c r="AA40" s="21">
        <v>12032</v>
      </c>
      <c r="AB40" s="21">
        <v>1134</v>
      </c>
      <c r="AC40" s="21">
        <v>106085</v>
      </c>
    </row>
    <row r="41" spans="1:29" s="2" customFormat="1" x14ac:dyDescent="0.3">
      <c r="A41" s="23" t="s">
        <v>402</v>
      </c>
      <c r="B41" s="24">
        <v>14444</v>
      </c>
      <c r="C41" s="24">
        <v>2991</v>
      </c>
      <c r="D41" s="24">
        <v>7556</v>
      </c>
      <c r="E41" s="24">
        <v>468</v>
      </c>
      <c r="F41" s="24">
        <v>25456</v>
      </c>
      <c r="G41" s="24">
        <v>7050</v>
      </c>
      <c r="H41" s="24">
        <v>32508</v>
      </c>
      <c r="I41" s="24">
        <v>32506</v>
      </c>
      <c r="J41" s="24">
        <v>5076</v>
      </c>
      <c r="K41" s="24">
        <v>12684</v>
      </c>
      <c r="L41" s="24">
        <v>50268</v>
      </c>
      <c r="M41" s="24">
        <v>57317</v>
      </c>
      <c r="N41" s="24">
        <v>23885</v>
      </c>
      <c r="O41" s="24">
        <v>1218</v>
      </c>
      <c r="P41" s="24">
        <v>6923</v>
      </c>
      <c r="Q41" s="24">
        <v>406</v>
      </c>
      <c r="R41" s="24">
        <v>3090</v>
      </c>
      <c r="S41" s="24">
        <v>22865</v>
      </c>
      <c r="T41" s="24">
        <v>49735</v>
      </c>
      <c r="U41" s="24">
        <v>8650</v>
      </c>
      <c r="V41" s="24">
        <v>18807</v>
      </c>
      <c r="W41" s="24">
        <v>135581</v>
      </c>
      <c r="X41" s="24">
        <v>218356</v>
      </c>
      <c r="Y41" s="24">
        <v>31462</v>
      </c>
      <c r="Z41" s="24">
        <v>3015</v>
      </c>
      <c r="AA41" s="24">
        <v>246803</v>
      </c>
      <c r="AB41" s="24">
        <v>12809</v>
      </c>
      <c r="AC41" s="24">
        <f>AVERAGE(AC35:AC40)</f>
        <v>163558.5</v>
      </c>
    </row>
    <row r="42" spans="1:29" s="2" customFormat="1" x14ac:dyDescent="0.3">
      <c r="A42" s="25" t="s">
        <v>406</v>
      </c>
      <c r="B42" s="26">
        <v>164027</v>
      </c>
      <c r="C42" s="26">
        <v>65459</v>
      </c>
      <c r="D42" s="26">
        <v>40053</v>
      </c>
      <c r="E42" s="26">
        <v>5963</v>
      </c>
      <c r="F42" s="26">
        <v>275501</v>
      </c>
      <c r="G42" s="26">
        <v>62444</v>
      </c>
      <c r="H42" s="26">
        <v>337947</v>
      </c>
      <c r="I42" s="26">
        <v>352023</v>
      </c>
      <c r="J42" s="26">
        <v>54974</v>
      </c>
      <c r="K42" s="26">
        <v>137372</v>
      </c>
      <c r="L42" s="26">
        <v>544366</v>
      </c>
      <c r="M42" s="26">
        <v>606810</v>
      </c>
      <c r="N42" s="26">
        <v>258650</v>
      </c>
      <c r="O42" s="26">
        <v>13182</v>
      </c>
      <c r="P42" s="26">
        <v>74977</v>
      </c>
      <c r="Q42" s="26">
        <v>4410</v>
      </c>
      <c r="R42" s="26">
        <v>33466</v>
      </c>
      <c r="S42" s="26">
        <v>247621</v>
      </c>
      <c r="T42" s="26">
        <v>538598</v>
      </c>
      <c r="U42" s="26">
        <v>93679</v>
      </c>
      <c r="V42" s="26">
        <v>203673</v>
      </c>
      <c r="W42" s="26">
        <v>1468260</v>
      </c>
      <c r="X42" s="26">
        <v>2350572</v>
      </c>
      <c r="Y42" s="26">
        <v>338689</v>
      </c>
      <c r="Z42" s="26">
        <v>32454</v>
      </c>
      <c r="AA42" s="26">
        <v>2656808</v>
      </c>
      <c r="AB42" s="26">
        <v>122819</v>
      </c>
      <c r="AC42" s="26">
        <f>AVERAGE(AC41,AC34,AC28,AC13,AC7,AC19)</f>
        <v>176685.90000000002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42"/>
  <sheetViews>
    <sheetView tabSelected="1" zoomScale="122" zoomScaleNormal="122" workbookViewId="0">
      <selection activeCell="J12" sqref="J12"/>
    </sheetView>
  </sheetViews>
  <sheetFormatPr defaultRowHeight="14.4" x14ac:dyDescent="0.3"/>
  <cols>
    <col min="1" max="1" width="22.33203125" bestFit="1" customWidth="1"/>
    <col min="2" max="2" width="7.21875" bestFit="1" customWidth="1"/>
    <col min="3" max="3" width="7.88671875" customWidth="1"/>
    <col min="4" max="4" width="13.88671875" bestFit="1" customWidth="1"/>
    <col min="5" max="5" width="15.33203125" bestFit="1" customWidth="1"/>
    <col min="6" max="6" width="19.33203125" bestFit="1" customWidth="1"/>
    <col min="7" max="7" width="13.109375" bestFit="1" customWidth="1"/>
    <col min="8" max="8" width="9.44140625" bestFit="1" customWidth="1"/>
    <col min="9" max="9" width="9.77734375" bestFit="1" customWidth="1"/>
    <col min="10" max="10" width="33.6640625" bestFit="1" customWidth="1"/>
    <col min="11" max="11" width="8.6640625" bestFit="1" customWidth="1"/>
    <col min="12" max="12" width="11.33203125" bestFit="1" customWidth="1"/>
    <col min="13" max="13" width="7" bestFit="1" customWidth="1"/>
    <col min="14" max="14" width="22.88671875" bestFit="1" customWidth="1"/>
    <col min="15" max="15" width="6.21875" bestFit="1" customWidth="1"/>
    <col min="16" max="16" width="25.6640625" bestFit="1" customWidth="1"/>
    <col min="17" max="17" width="5.44140625" bestFit="1" customWidth="1"/>
    <col min="18" max="18" width="23.5546875" bestFit="1" customWidth="1"/>
    <col min="19" max="19" width="11.5546875" bestFit="1" customWidth="1"/>
    <col min="20" max="20" width="29.21875" bestFit="1" customWidth="1"/>
    <col min="21" max="21" width="20.6640625" bestFit="1" customWidth="1"/>
    <col min="22" max="22" width="9.5546875" bestFit="1" customWidth="1"/>
    <col min="23" max="23" width="15.5546875" bestFit="1" customWidth="1"/>
    <col min="24" max="24" width="8" bestFit="1" customWidth="1"/>
    <col min="25" max="25" width="11.88671875" bestFit="1" customWidth="1"/>
    <col min="26" max="26" width="17.44140625" bestFit="1" customWidth="1"/>
    <col min="27" max="27" width="8" bestFit="1" customWidth="1"/>
    <col min="28" max="28" width="10.77734375" bestFit="1" customWidth="1"/>
    <col min="29" max="29" width="23.5546875" bestFit="1" customWidth="1"/>
  </cols>
  <sheetData>
    <row r="1" spans="1:29" x14ac:dyDescent="0.3">
      <c r="A1" s="37" t="s">
        <v>0</v>
      </c>
      <c r="B1" s="37" t="s">
        <v>1</v>
      </c>
      <c r="C1" s="37" t="s">
        <v>2</v>
      </c>
      <c r="D1" s="37" t="s">
        <v>382</v>
      </c>
      <c r="E1" s="37" t="s">
        <v>383</v>
      </c>
      <c r="F1" s="37" t="s">
        <v>384</v>
      </c>
      <c r="G1" s="37" t="s">
        <v>385</v>
      </c>
      <c r="H1" s="37" t="s">
        <v>386</v>
      </c>
      <c r="I1" s="37" t="s">
        <v>3</v>
      </c>
      <c r="J1" s="37" t="s">
        <v>387</v>
      </c>
      <c r="K1" s="37" t="s">
        <v>4</v>
      </c>
      <c r="L1" s="37" t="s">
        <v>388</v>
      </c>
      <c r="M1" s="37" t="s">
        <v>389</v>
      </c>
      <c r="N1" s="37" t="s">
        <v>410</v>
      </c>
      <c r="O1" s="38" t="s">
        <v>37</v>
      </c>
      <c r="P1" s="39" t="s">
        <v>411</v>
      </c>
      <c r="Q1" s="37" t="s">
        <v>38</v>
      </c>
      <c r="R1" s="37" t="s">
        <v>390</v>
      </c>
      <c r="S1" s="37" t="s">
        <v>391</v>
      </c>
      <c r="T1" s="37" t="s">
        <v>392</v>
      </c>
      <c r="U1" s="38" t="s">
        <v>393</v>
      </c>
      <c r="V1" s="37" t="s">
        <v>394</v>
      </c>
      <c r="W1" s="37" t="s">
        <v>395</v>
      </c>
      <c r="X1" s="37" t="s">
        <v>396</v>
      </c>
      <c r="Y1" s="39" t="s">
        <v>397</v>
      </c>
      <c r="Z1" s="37" t="s">
        <v>398</v>
      </c>
      <c r="AA1" s="37" t="s">
        <v>399</v>
      </c>
      <c r="AB1" s="37" t="s">
        <v>400</v>
      </c>
      <c r="AC1" s="37" t="s">
        <v>401</v>
      </c>
    </row>
    <row r="2" spans="1:29" x14ac:dyDescent="0.3">
      <c r="A2" s="4" t="s">
        <v>409</v>
      </c>
      <c r="B2" s="5">
        <v>0</v>
      </c>
      <c r="C2" s="5">
        <v>169</v>
      </c>
      <c r="D2" s="5">
        <v>42</v>
      </c>
      <c r="E2" s="5">
        <v>2076</v>
      </c>
      <c r="F2" s="5">
        <v>2288</v>
      </c>
      <c r="G2" s="5">
        <v>32756</v>
      </c>
      <c r="H2" s="5">
        <v>35044</v>
      </c>
      <c r="I2" s="5">
        <v>80111</v>
      </c>
      <c r="J2" s="5">
        <v>11534</v>
      </c>
      <c r="K2" s="5">
        <v>28970</v>
      </c>
      <c r="L2" s="5">
        <v>120616</v>
      </c>
      <c r="M2" s="5">
        <v>153372</v>
      </c>
      <c r="N2" s="5">
        <v>43083</v>
      </c>
      <c r="O2" s="5">
        <v>2911</v>
      </c>
      <c r="P2" s="5">
        <v>12346</v>
      </c>
      <c r="Q2" s="5">
        <v>966</v>
      </c>
      <c r="R2" s="5">
        <v>7576</v>
      </c>
      <c r="S2" s="5">
        <v>53918</v>
      </c>
      <c r="T2" s="5">
        <v>115381</v>
      </c>
      <c r="U2" s="5">
        <v>20388</v>
      </c>
      <c r="V2" s="5">
        <v>37856</v>
      </c>
      <c r="W2" s="5">
        <v>294424</v>
      </c>
      <c r="X2" s="5">
        <v>450083</v>
      </c>
      <c r="Y2" s="5">
        <v>62160</v>
      </c>
      <c r="Z2" s="5">
        <v>8413</v>
      </c>
      <c r="AA2" s="5">
        <v>503831</v>
      </c>
      <c r="AB2" s="5">
        <v>14529</v>
      </c>
      <c r="AC2" s="5">
        <v>346768</v>
      </c>
    </row>
    <row r="3" spans="1:29" x14ac:dyDescent="0.3">
      <c r="A3" s="4" t="s">
        <v>381</v>
      </c>
      <c r="B3" s="5">
        <v>3999</v>
      </c>
      <c r="C3" s="5">
        <v>1429</v>
      </c>
      <c r="D3" s="5">
        <v>3043</v>
      </c>
      <c r="E3" s="5">
        <v>1069</v>
      </c>
      <c r="F3" s="5">
        <v>9540</v>
      </c>
      <c r="G3" s="5">
        <v>597</v>
      </c>
      <c r="H3" s="5">
        <v>10136</v>
      </c>
      <c r="I3" s="5">
        <v>62281</v>
      </c>
      <c r="J3" s="5">
        <v>8967</v>
      </c>
      <c r="K3" s="5">
        <v>22522</v>
      </c>
      <c r="L3" s="5">
        <v>93770</v>
      </c>
      <c r="M3" s="5">
        <v>94367</v>
      </c>
      <c r="N3" s="5">
        <v>33494</v>
      </c>
      <c r="O3" s="5">
        <v>2263</v>
      </c>
      <c r="P3" s="5">
        <v>9598</v>
      </c>
      <c r="Q3" s="5">
        <v>751</v>
      </c>
      <c r="R3" s="5">
        <v>5890</v>
      </c>
      <c r="S3" s="5">
        <v>41918</v>
      </c>
      <c r="T3" s="5">
        <v>89701</v>
      </c>
      <c r="U3" s="5">
        <v>15850</v>
      </c>
      <c r="V3" s="5">
        <v>29430</v>
      </c>
      <c r="W3" s="5">
        <v>228894</v>
      </c>
      <c r="X3" s="5">
        <v>332801</v>
      </c>
      <c r="Y3" s="5">
        <v>45963</v>
      </c>
      <c r="Z3" s="5">
        <v>6220</v>
      </c>
      <c r="AA3" s="5">
        <v>372543</v>
      </c>
      <c r="AB3" s="5">
        <v>12615</v>
      </c>
      <c r="AC3" s="5">
        <v>295318</v>
      </c>
    </row>
    <row r="4" spans="1:29" x14ac:dyDescent="0.3">
      <c r="A4" s="4" t="s">
        <v>287</v>
      </c>
      <c r="B4" s="5">
        <v>1989</v>
      </c>
      <c r="C4" s="5">
        <v>806</v>
      </c>
      <c r="D4" s="5">
        <v>2898</v>
      </c>
      <c r="E4" s="5">
        <v>535</v>
      </c>
      <c r="F4" s="5">
        <v>6229</v>
      </c>
      <c r="G4" s="5">
        <v>7423</v>
      </c>
      <c r="H4" s="5">
        <v>13651</v>
      </c>
      <c r="I4" s="5">
        <v>9216</v>
      </c>
      <c r="J4" s="5">
        <v>1327</v>
      </c>
      <c r="K4" s="5">
        <v>3333</v>
      </c>
      <c r="L4" s="5">
        <v>13875</v>
      </c>
      <c r="M4" s="5">
        <v>21298</v>
      </c>
      <c r="N4" s="5">
        <v>4956</v>
      </c>
      <c r="O4" s="5">
        <v>335</v>
      </c>
      <c r="P4" s="5">
        <v>1420</v>
      </c>
      <c r="Q4" s="5">
        <v>111</v>
      </c>
      <c r="R4" s="5">
        <v>872</v>
      </c>
      <c r="S4" s="5">
        <v>6202</v>
      </c>
      <c r="T4" s="5">
        <v>13273</v>
      </c>
      <c r="U4" s="5">
        <v>2345</v>
      </c>
      <c r="V4" s="5">
        <v>4355</v>
      </c>
      <c r="W4" s="5">
        <v>33869</v>
      </c>
      <c r="X4" s="5">
        <v>61395</v>
      </c>
      <c r="Y4" s="5">
        <v>8479</v>
      </c>
      <c r="Z4" s="5">
        <v>1148</v>
      </c>
      <c r="AA4" s="5">
        <v>68727</v>
      </c>
      <c r="AB4" s="5">
        <v>2880</v>
      </c>
      <c r="AC4" s="5">
        <v>238658</v>
      </c>
    </row>
    <row r="5" spans="1:29" x14ac:dyDescent="0.3">
      <c r="A5" s="4" t="s">
        <v>288</v>
      </c>
      <c r="B5" s="5">
        <v>5210</v>
      </c>
      <c r="C5" s="5">
        <v>905</v>
      </c>
      <c r="D5" s="5">
        <v>1322</v>
      </c>
      <c r="E5" s="5">
        <v>737</v>
      </c>
      <c r="F5" s="5">
        <v>8174</v>
      </c>
      <c r="G5" s="5">
        <v>125</v>
      </c>
      <c r="H5" s="5">
        <v>8299</v>
      </c>
      <c r="I5" s="5">
        <v>4132</v>
      </c>
      <c r="J5" s="5">
        <v>595</v>
      </c>
      <c r="K5" s="5">
        <v>1494</v>
      </c>
      <c r="L5" s="5">
        <v>6221</v>
      </c>
      <c r="M5" s="5">
        <v>6346</v>
      </c>
      <c r="N5" s="5">
        <v>2222</v>
      </c>
      <c r="O5" s="5">
        <v>150</v>
      </c>
      <c r="P5" s="5">
        <v>637</v>
      </c>
      <c r="Q5" s="5">
        <v>50</v>
      </c>
      <c r="R5" s="5">
        <v>391</v>
      </c>
      <c r="S5" s="5">
        <v>2781</v>
      </c>
      <c r="T5" s="5">
        <v>5951</v>
      </c>
      <c r="U5" s="5">
        <v>1051</v>
      </c>
      <c r="V5" s="5">
        <v>1952</v>
      </c>
      <c r="W5" s="5">
        <v>15184</v>
      </c>
      <c r="X5" s="5">
        <v>29704</v>
      </c>
      <c r="Y5" s="5">
        <v>4102</v>
      </c>
      <c r="Z5" s="5">
        <v>555</v>
      </c>
      <c r="AA5" s="5">
        <v>33252</v>
      </c>
      <c r="AB5" s="5">
        <v>1727</v>
      </c>
      <c r="AC5" s="5">
        <v>192591</v>
      </c>
    </row>
    <row r="6" spans="1:29" x14ac:dyDescent="0.3">
      <c r="A6" s="4" t="s">
        <v>289</v>
      </c>
      <c r="B6" s="5">
        <v>3253</v>
      </c>
      <c r="C6" s="5">
        <v>384</v>
      </c>
      <c r="D6" s="5">
        <v>3138</v>
      </c>
      <c r="E6" s="5">
        <v>263</v>
      </c>
      <c r="F6" s="5">
        <v>7039</v>
      </c>
      <c r="G6" s="5">
        <v>376</v>
      </c>
      <c r="H6" s="5">
        <v>7415</v>
      </c>
      <c r="I6" s="5">
        <v>1901</v>
      </c>
      <c r="J6" s="5">
        <v>274</v>
      </c>
      <c r="K6" s="5">
        <v>687</v>
      </c>
      <c r="L6" s="5">
        <v>2862</v>
      </c>
      <c r="M6" s="5">
        <v>3238</v>
      </c>
      <c r="N6" s="5">
        <v>1022</v>
      </c>
      <c r="O6" s="5">
        <v>69</v>
      </c>
      <c r="P6" s="5">
        <v>293</v>
      </c>
      <c r="Q6" s="5">
        <v>23</v>
      </c>
      <c r="R6" s="5">
        <v>180</v>
      </c>
      <c r="S6" s="5">
        <v>1279</v>
      </c>
      <c r="T6" s="5">
        <v>2737</v>
      </c>
      <c r="U6" s="5">
        <v>484</v>
      </c>
      <c r="V6" s="5">
        <v>898</v>
      </c>
      <c r="W6" s="5">
        <v>6985</v>
      </c>
      <c r="X6" s="5">
        <v>17262</v>
      </c>
      <c r="Y6" s="5">
        <v>2384</v>
      </c>
      <c r="Z6" s="5">
        <v>323</v>
      </c>
      <c r="AA6" s="5">
        <v>19323</v>
      </c>
      <c r="AB6" s="5">
        <v>905</v>
      </c>
      <c r="AC6" s="5">
        <v>213623</v>
      </c>
    </row>
    <row r="7" spans="1:29" s="2" customFormat="1" x14ac:dyDescent="0.3">
      <c r="A7" s="18" t="s">
        <v>405</v>
      </c>
      <c r="B7" s="19">
        <v>14451</v>
      </c>
      <c r="C7" s="19">
        <v>3693</v>
      </c>
      <c r="D7" s="19">
        <v>10443</v>
      </c>
      <c r="E7" s="19">
        <v>4680</v>
      </c>
      <c r="F7" s="19">
        <v>33270</v>
      </c>
      <c r="G7" s="19">
        <v>41277</v>
      </c>
      <c r="H7" s="19">
        <v>74545</v>
      </c>
      <c r="I7" s="19">
        <v>157641</v>
      </c>
      <c r="J7" s="19">
        <v>22697</v>
      </c>
      <c r="K7" s="19">
        <v>57006</v>
      </c>
      <c r="L7" s="19">
        <v>237344</v>
      </c>
      <c r="M7" s="19">
        <v>278621</v>
      </c>
      <c r="N7" s="19">
        <v>84777</v>
      </c>
      <c r="O7" s="19">
        <v>5728</v>
      </c>
      <c r="P7" s="19">
        <v>24294</v>
      </c>
      <c r="Q7" s="19">
        <v>1901</v>
      </c>
      <c r="R7" s="19">
        <v>14909</v>
      </c>
      <c r="S7" s="19">
        <v>106098</v>
      </c>
      <c r="T7" s="19">
        <v>227043</v>
      </c>
      <c r="U7" s="19">
        <v>40118</v>
      </c>
      <c r="V7" s="19">
        <v>74491</v>
      </c>
      <c r="W7" s="19">
        <v>579356</v>
      </c>
      <c r="X7" s="19">
        <v>891245</v>
      </c>
      <c r="Y7" s="19">
        <v>123088</v>
      </c>
      <c r="Z7" s="19">
        <v>16659</v>
      </c>
      <c r="AA7" s="19">
        <v>997676</v>
      </c>
      <c r="AB7" s="19">
        <v>32656</v>
      </c>
      <c r="AC7" s="19">
        <f>AVERAGE(AC2:AC6)</f>
        <v>257391.6</v>
      </c>
    </row>
    <row r="8" spans="1:29" x14ac:dyDescent="0.3">
      <c r="A8" s="27" t="s">
        <v>290</v>
      </c>
      <c r="B8" s="28">
        <v>17620</v>
      </c>
      <c r="C8" s="28">
        <v>5937</v>
      </c>
      <c r="D8" s="28">
        <v>679</v>
      </c>
      <c r="E8" s="28">
        <v>51</v>
      </c>
      <c r="F8" s="28">
        <v>24288</v>
      </c>
      <c r="G8" s="28">
        <v>237</v>
      </c>
      <c r="H8" s="28">
        <v>24525</v>
      </c>
      <c r="I8" s="28">
        <v>17988</v>
      </c>
      <c r="J8" s="28">
        <v>2590</v>
      </c>
      <c r="K8" s="28">
        <v>6505</v>
      </c>
      <c r="L8" s="28">
        <v>27083</v>
      </c>
      <c r="M8" s="28">
        <v>27320</v>
      </c>
      <c r="N8" s="28">
        <v>9674</v>
      </c>
      <c r="O8" s="28">
        <v>654</v>
      </c>
      <c r="P8" s="28">
        <v>2772</v>
      </c>
      <c r="Q8" s="28">
        <v>217</v>
      </c>
      <c r="R8" s="28">
        <v>1701</v>
      </c>
      <c r="S8" s="28">
        <v>12107</v>
      </c>
      <c r="T8" s="28">
        <v>25907</v>
      </c>
      <c r="U8" s="28">
        <v>4578</v>
      </c>
      <c r="V8" s="28">
        <v>8500</v>
      </c>
      <c r="W8" s="28">
        <v>66109</v>
      </c>
      <c r="X8" s="28">
        <v>117716</v>
      </c>
      <c r="Y8" s="28">
        <v>16258</v>
      </c>
      <c r="Z8" s="28">
        <v>2200</v>
      </c>
      <c r="AA8" s="28">
        <v>131773</v>
      </c>
      <c r="AB8" s="28">
        <v>6717</v>
      </c>
      <c r="AC8" s="28">
        <v>196165</v>
      </c>
    </row>
    <row r="9" spans="1:29" x14ac:dyDescent="0.3">
      <c r="A9" s="27" t="s">
        <v>291</v>
      </c>
      <c r="B9" s="28">
        <v>4653</v>
      </c>
      <c r="C9" s="28">
        <v>1554</v>
      </c>
      <c r="D9" s="28">
        <v>325</v>
      </c>
      <c r="E9" s="28">
        <v>28</v>
      </c>
      <c r="F9" s="28">
        <v>6560</v>
      </c>
      <c r="G9" s="28">
        <v>58</v>
      </c>
      <c r="H9" s="28">
        <v>6618</v>
      </c>
      <c r="I9" s="28">
        <v>4403</v>
      </c>
      <c r="J9" s="28">
        <v>634</v>
      </c>
      <c r="K9" s="28">
        <v>1592</v>
      </c>
      <c r="L9" s="28">
        <v>6629</v>
      </c>
      <c r="M9" s="28">
        <v>6686</v>
      </c>
      <c r="N9" s="28">
        <v>2368</v>
      </c>
      <c r="O9" s="28">
        <v>160</v>
      </c>
      <c r="P9" s="28">
        <v>678</v>
      </c>
      <c r="Q9" s="28">
        <v>53</v>
      </c>
      <c r="R9" s="28">
        <v>416</v>
      </c>
      <c r="S9" s="28">
        <v>2963</v>
      </c>
      <c r="T9" s="28">
        <v>6341</v>
      </c>
      <c r="U9" s="28">
        <v>1120</v>
      </c>
      <c r="V9" s="28">
        <v>2080</v>
      </c>
      <c r="W9" s="28">
        <v>16181</v>
      </c>
      <c r="X9" s="28">
        <v>29427</v>
      </c>
      <c r="Y9" s="28">
        <v>4064</v>
      </c>
      <c r="Z9" s="28">
        <v>550</v>
      </c>
      <c r="AA9" s="28">
        <v>32941</v>
      </c>
      <c r="AB9" s="28">
        <v>2220</v>
      </c>
      <c r="AC9" s="28">
        <v>148365</v>
      </c>
    </row>
    <row r="10" spans="1:29" x14ac:dyDescent="0.3">
      <c r="A10" s="27" t="s">
        <v>292</v>
      </c>
      <c r="B10" s="28">
        <v>3099</v>
      </c>
      <c r="C10" s="28">
        <v>1469</v>
      </c>
      <c r="D10" s="28">
        <v>226</v>
      </c>
      <c r="E10" s="28">
        <v>20</v>
      </c>
      <c r="F10" s="28">
        <v>4815</v>
      </c>
      <c r="G10" s="28">
        <v>20</v>
      </c>
      <c r="H10" s="28">
        <v>4834</v>
      </c>
      <c r="I10" s="28">
        <v>2229</v>
      </c>
      <c r="J10" s="28">
        <v>321</v>
      </c>
      <c r="K10" s="28">
        <v>806</v>
      </c>
      <c r="L10" s="28">
        <v>3357</v>
      </c>
      <c r="M10" s="28">
        <v>3376</v>
      </c>
      <c r="N10" s="28">
        <v>1199</v>
      </c>
      <c r="O10" s="28">
        <v>81</v>
      </c>
      <c r="P10" s="28">
        <v>344</v>
      </c>
      <c r="Q10" s="28">
        <v>27</v>
      </c>
      <c r="R10" s="28">
        <v>211</v>
      </c>
      <c r="S10" s="28">
        <v>1500</v>
      </c>
      <c r="T10" s="28">
        <v>3211</v>
      </c>
      <c r="U10" s="28">
        <v>567</v>
      </c>
      <c r="V10" s="28">
        <v>1053</v>
      </c>
      <c r="W10" s="28">
        <v>8193</v>
      </c>
      <c r="X10" s="28">
        <v>16384</v>
      </c>
      <c r="Y10" s="28">
        <v>2263</v>
      </c>
      <c r="Z10" s="28">
        <v>306</v>
      </c>
      <c r="AA10" s="28">
        <v>18341</v>
      </c>
      <c r="AB10" s="28">
        <v>1763</v>
      </c>
      <c r="AC10" s="28">
        <v>104043</v>
      </c>
    </row>
    <row r="11" spans="1:29" x14ac:dyDescent="0.3">
      <c r="A11" s="27" t="s">
        <v>293</v>
      </c>
      <c r="B11" s="28">
        <v>9594</v>
      </c>
      <c r="C11" s="28">
        <v>3082</v>
      </c>
      <c r="D11" s="28">
        <v>635</v>
      </c>
      <c r="E11" s="28">
        <v>71</v>
      </c>
      <c r="F11" s="28">
        <v>13382</v>
      </c>
      <c r="G11" s="28">
        <v>361</v>
      </c>
      <c r="H11" s="28">
        <v>13743</v>
      </c>
      <c r="I11" s="28">
        <v>8711</v>
      </c>
      <c r="J11" s="28">
        <v>1254</v>
      </c>
      <c r="K11" s="28">
        <v>3150</v>
      </c>
      <c r="L11" s="28">
        <v>13116</v>
      </c>
      <c r="M11" s="28">
        <v>13477</v>
      </c>
      <c r="N11" s="28">
        <v>4685</v>
      </c>
      <c r="O11" s="28">
        <v>317</v>
      </c>
      <c r="P11" s="28">
        <v>1343</v>
      </c>
      <c r="Q11" s="28">
        <v>105</v>
      </c>
      <c r="R11" s="28">
        <v>824</v>
      </c>
      <c r="S11" s="28">
        <v>5863</v>
      </c>
      <c r="T11" s="28">
        <v>12547</v>
      </c>
      <c r="U11" s="28">
        <v>2217</v>
      </c>
      <c r="V11" s="28">
        <v>4117</v>
      </c>
      <c r="W11" s="28">
        <v>32016</v>
      </c>
      <c r="X11" s="28">
        <v>58875</v>
      </c>
      <c r="Y11" s="28">
        <v>8131</v>
      </c>
      <c r="Z11" s="28">
        <v>1100</v>
      </c>
      <c r="AA11" s="28">
        <v>65906</v>
      </c>
      <c r="AB11" s="28">
        <v>4599</v>
      </c>
      <c r="AC11" s="28">
        <v>143311</v>
      </c>
    </row>
    <row r="12" spans="1:29" x14ac:dyDescent="0.3">
      <c r="A12" s="27" t="s">
        <v>380</v>
      </c>
      <c r="B12" s="28">
        <v>15569</v>
      </c>
      <c r="C12" s="28">
        <v>8948</v>
      </c>
      <c r="D12" s="28">
        <v>946</v>
      </c>
      <c r="E12" s="28">
        <v>37</v>
      </c>
      <c r="F12" s="28">
        <v>25500</v>
      </c>
      <c r="G12" s="28">
        <v>670</v>
      </c>
      <c r="H12" s="28">
        <v>26169</v>
      </c>
      <c r="I12" s="28">
        <v>10354</v>
      </c>
      <c r="J12" s="28">
        <v>1491</v>
      </c>
      <c r="K12" s="28">
        <v>3744</v>
      </c>
      <c r="L12" s="28">
        <v>15589</v>
      </c>
      <c r="M12" s="28">
        <v>16258</v>
      </c>
      <c r="N12" s="28">
        <v>5568</v>
      </c>
      <c r="O12" s="28">
        <v>376</v>
      </c>
      <c r="P12" s="28">
        <v>1596</v>
      </c>
      <c r="Q12" s="28">
        <v>125</v>
      </c>
      <c r="R12" s="28">
        <v>979</v>
      </c>
      <c r="S12" s="28">
        <v>6968</v>
      </c>
      <c r="T12" s="28">
        <v>14912</v>
      </c>
      <c r="U12" s="28">
        <v>2635</v>
      </c>
      <c r="V12" s="28">
        <v>4893</v>
      </c>
      <c r="W12" s="28">
        <v>38052</v>
      </c>
      <c r="X12" s="28">
        <v>79810</v>
      </c>
      <c r="Y12" s="28">
        <v>11022</v>
      </c>
      <c r="Z12" s="28">
        <v>1492</v>
      </c>
      <c r="AA12" s="28">
        <v>89341</v>
      </c>
      <c r="AB12" s="28">
        <v>4877</v>
      </c>
      <c r="AC12" s="28">
        <v>183192</v>
      </c>
    </row>
    <row r="13" spans="1:29" s="2" customFormat="1" x14ac:dyDescent="0.3">
      <c r="A13" s="7" t="s">
        <v>408</v>
      </c>
      <c r="B13" s="8">
        <v>50535</v>
      </c>
      <c r="C13" s="8">
        <v>20990</v>
      </c>
      <c r="D13" s="8">
        <v>2811</v>
      </c>
      <c r="E13" s="8">
        <v>207</v>
      </c>
      <c r="F13" s="8">
        <v>74545</v>
      </c>
      <c r="G13" s="8">
        <v>1346</v>
      </c>
      <c r="H13" s="8">
        <v>75889</v>
      </c>
      <c r="I13" s="8">
        <v>43685</v>
      </c>
      <c r="J13" s="8">
        <v>6290</v>
      </c>
      <c r="K13" s="8">
        <v>15797</v>
      </c>
      <c r="L13" s="8">
        <v>65774</v>
      </c>
      <c r="M13" s="8">
        <v>67117</v>
      </c>
      <c r="N13" s="8">
        <v>23494</v>
      </c>
      <c r="O13" s="8">
        <v>1588</v>
      </c>
      <c r="P13" s="8">
        <v>6733</v>
      </c>
      <c r="Q13" s="8">
        <v>527</v>
      </c>
      <c r="R13" s="8">
        <v>4131</v>
      </c>
      <c r="S13" s="8">
        <v>29401</v>
      </c>
      <c r="T13" s="8">
        <v>62918</v>
      </c>
      <c r="U13" s="8">
        <v>11117</v>
      </c>
      <c r="V13" s="8">
        <v>20643</v>
      </c>
      <c r="W13" s="8">
        <v>160551</v>
      </c>
      <c r="X13" s="8">
        <v>302212</v>
      </c>
      <c r="Y13" s="8">
        <v>41738</v>
      </c>
      <c r="Z13" s="8">
        <v>5648</v>
      </c>
      <c r="AA13" s="8">
        <v>338302</v>
      </c>
      <c r="AB13" s="8">
        <v>20176</v>
      </c>
      <c r="AC13" s="8">
        <f>AVERAGE(AC8:AC12)</f>
        <v>155015.20000000001</v>
      </c>
    </row>
    <row r="14" spans="1:29" x14ac:dyDescent="0.3">
      <c r="A14" s="9" t="s">
        <v>294</v>
      </c>
      <c r="B14" s="10">
        <v>11183</v>
      </c>
      <c r="C14" s="10">
        <v>8657</v>
      </c>
      <c r="D14" s="10">
        <v>2425</v>
      </c>
      <c r="E14" s="10">
        <v>99</v>
      </c>
      <c r="F14" s="10">
        <v>22364</v>
      </c>
      <c r="G14" s="10">
        <v>319</v>
      </c>
      <c r="H14" s="10">
        <v>22683</v>
      </c>
      <c r="I14" s="10">
        <v>47005</v>
      </c>
      <c r="J14" s="10">
        <v>6768</v>
      </c>
      <c r="K14" s="10">
        <v>16998</v>
      </c>
      <c r="L14" s="10">
        <v>70771</v>
      </c>
      <c r="M14" s="10">
        <v>71090</v>
      </c>
      <c r="N14" s="10">
        <v>25279</v>
      </c>
      <c r="O14" s="10">
        <v>1708</v>
      </c>
      <c r="P14" s="10">
        <v>7244</v>
      </c>
      <c r="Q14" s="10">
        <v>567</v>
      </c>
      <c r="R14" s="10">
        <v>4445</v>
      </c>
      <c r="S14" s="10">
        <v>31636</v>
      </c>
      <c r="T14" s="10">
        <v>67700</v>
      </c>
      <c r="U14" s="10">
        <v>11962</v>
      </c>
      <c r="V14" s="10">
        <v>22212</v>
      </c>
      <c r="W14" s="10">
        <v>172753</v>
      </c>
      <c r="X14" s="10">
        <v>266208</v>
      </c>
      <c r="Y14" s="10">
        <v>36766</v>
      </c>
      <c r="Z14" s="10">
        <v>4976</v>
      </c>
      <c r="AA14" s="10">
        <v>297998</v>
      </c>
      <c r="AB14" s="10">
        <v>10577</v>
      </c>
      <c r="AC14" s="10">
        <v>281739</v>
      </c>
    </row>
    <row r="15" spans="1:29" x14ac:dyDescent="0.3">
      <c r="A15" s="9" t="s">
        <v>295</v>
      </c>
      <c r="B15" s="10">
        <v>6173</v>
      </c>
      <c r="C15" s="10">
        <v>3614</v>
      </c>
      <c r="D15" s="10">
        <v>1238</v>
      </c>
      <c r="E15" s="10">
        <v>38</v>
      </c>
      <c r="F15" s="10">
        <v>11064</v>
      </c>
      <c r="G15" s="10">
        <v>142</v>
      </c>
      <c r="H15" s="10">
        <v>11206</v>
      </c>
      <c r="I15" s="10">
        <v>7696</v>
      </c>
      <c r="J15" s="10">
        <v>1108</v>
      </c>
      <c r="K15" s="10">
        <v>2783</v>
      </c>
      <c r="L15" s="10">
        <v>11587</v>
      </c>
      <c r="M15" s="10">
        <v>11729</v>
      </c>
      <c r="N15" s="10">
        <v>4139</v>
      </c>
      <c r="O15" s="10">
        <v>280</v>
      </c>
      <c r="P15" s="10">
        <v>1186</v>
      </c>
      <c r="Q15" s="10">
        <v>93</v>
      </c>
      <c r="R15" s="10">
        <v>728</v>
      </c>
      <c r="S15" s="10">
        <v>5180</v>
      </c>
      <c r="T15" s="10">
        <v>11085</v>
      </c>
      <c r="U15" s="10">
        <v>1959</v>
      </c>
      <c r="V15" s="10">
        <v>3637</v>
      </c>
      <c r="W15" s="10">
        <v>28285</v>
      </c>
      <c r="X15" s="10">
        <v>51078</v>
      </c>
      <c r="Y15" s="10">
        <v>7054</v>
      </c>
      <c r="Z15" s="10">
        <v>955</v>
      </c>
      <c r="AA15" s="10">
        <v>57178</v>
      </c>
      <c r="AB15" s="10">
        <v>3220</v>
      </c>
      <c r="AC15" s="10">
        <v>177544</v>
      </c>
    </row>
    <row r="16" spans="1:29" x14ac:dyDescent="0.3">
      <c r="A16" s="9" t="s">
        <v>296</v>
      </c>
      <c r="B16" s="10">
        <v>7096</v>
      </c>
      <c r="C16" s="10">
        <v>3604</v>
      </c>
      <c r="D16" s="10">
        <v>2268</v>
      </c>
      <c r="E16" s="10">
        <v>55</v>
      </c>
      <c r="F16" s="10">
        <v>13024</v>
      </c>
      <c r="G16" s="10">
        <v>133</v>
      </c>
      <c r="H16" s="10">
        <v>13157</v>
      </c>
      <c r="I16" s="10">
        <v>7295</v>
      </c>
      <c r="J16" s="10">
        <v>1050</v>
      </c>
      <c r="K16" s="10">
        <v>2638</v>
      </c>
      <c r="L16" s="10">
        <v>10983</v>
      </c>
      <c r="M16" s="10">
        <v>11116</v>
      </c>
      <c r="N16" s="10">
        <v>3923</v>
      </c>
      <c r="O16" s="10">
        <v>265</v>
      </c>
      <c r="P16" s="10">
        <v>1124</v>
      </c>
      <c r="Q16" s="10">
        <v>88</v>
      </c>
      <c r="R16" s="10">
        <v>690</v>
      </c>
      <c r="S16" s="10">
        <v>4910</v>
      </c>
      <c r="T16" s="10">
        <v>10506</v>
      </c>
      <c r="U16" s="10">
        <v>1856</v>
      </c>
      <c r="V16" s="10">
        <v>3447</v>
      </c>
      <c r="W16" s="10">
        <v>26810</v>
      </c>
      <c r="X16" s="10">
        <v>50949</v>
      </c>
      <c r="Y16" s="10">
        <v>7037</v>
      </c>
      <c r="Z16" s="10">
        <v>952</v>
      </c>
      <c r="AA16" s="10">
        <v>57033</v>
      </c>
      <c r="AB16" s="10">
        <v>3047</v>
      </c>
      <c r="AC16" s="10">
        <v>187152</v>
      </c>
    </row>
    <row r="17" spans="1:29" x14ac:dyDescent="0.3">
      <c r="A17" s="9" t="s">
        <v>297</v>
      </c>
      <c r="B17" s="10">
        <v>9529</v>
      </c>
      <c r="C17" s="10">
        <v>7176</v>
      </c>
      <c r="D17" s="10">
        <v>1299</v>
      </c>
      <c r="E17" s="10">
        <v>49</v>
      </c>
      <c r="F17" s="10">
        <v>18053</v>
      </c>
      <c r="G17" s="10">
        <v>32</v>
      </c>
      <c r="H17" s="10">
        <v>18085</v>
      </c>
      <c r="I17" s="10">
        <v>11929</v>
      </c>
      <c r="J17" s="10">
        <v>1718</v>
      </c>
      <c r="K17" s="10">
        <v>4314</v>
      </c>
      <c r="L17" s="10">
        <v>17960</v>
      </c>
      <c r="M17" s="10">
        <v>17992</v>
      </c>
      <c r="N17" s="10">
        <v>6415</v>
      </c>
      <c r="O17" s="10">
        <v>433</v>
      </c>
      <c r="P17" s="10">
        <v>1838</v>
      </c>
      <c r="Q17" s="10">
        <v>144</v>
      </c>
      <c r="R17" s="10">
        <v>1128</v>
      </c>
      <c r="S17" s="10">
        <v>8029</v>
      </c>
      <c r="T17" s="10">
        <v>17181</v>
      </c>
      <c r="U17" s="10">
        <v>3036</v>
      </c>
      <c r="V17" s="10">
        <v>5637</v>
      </c>
      <c r="W17" s="10">
        <v>43842</v>
      </c>
      <c r="X17" s="10">
        <v>79887</v>
      </c>
      <c r="Y17" s="10">
        <v>11033</v>
      </c>
      <c r="Z17" s="10">
        <v>1493</v>
      </c>
      <c r="AA17" s="10">
        <v>89427</v>
      </c>
      <c r="AB17" s="10">
        <v>4698</v>
      </c>
      <c r="AC17" s="10">
        <v>190365</v>
      </c>
    </row>
    <row r="18" spans="1:29" x14ac:dyDescent="0.3">
      <c r="A18" s="9" t="s">
        <v>298</v>
      </c>
      <c r="B18" s="10">
        <v>6127</v>
      </c>
      <c r="C18" s="10">
        <v>2138</v>
      </c>
      <c r="D18" s="10">
        <v>1171</v>
      </c>
      <c r="E18" s="10">
        <v>37</v>
      </c>
      <c r="F18" s="10">
        <v>9473</v>
      </c>
      <c r="G18" s="10">
        <v>137</v>
      </c>
      <c r="H18" s="10">
        <v>9610</v>
      </c>
      <c r="I18" s="10">
        <v>13003</v>
      </c>
      <c r="J18" s="10">
        <v>1872</v>
      </c>
      <c r="K18" s="10">
        <v>4702</v>
      </c>
      <c r="L18" s="10">
        <v>19577</v>
      </c>
      <c r="M18" s="10">
        <v>19714</v>
      </c>
      <c r="N18" s="10">
        <v>6993</v>
      </c>
      <c r="O18" s="10">
        <v>472</v>
      </c>
      <c r="P18" s="10">
        <v>2004</v>
      </c>
      <c r="Q18" s="10">
        <v>157</v>
      </c>
      <c r="R18" s="10">
        <v>1230</v>
      </c>
      <c r="S18" s="10">
        <v>8751</v>
      </c>
      <c r="T18" s="10">
        <v>18728</v>
      </c>
      <c r="U18" s="10">
        <v>3309</v>
      </c>
      <c r="V18" s="10">
        <v>6144</v>
      </c>
      <c r="W18" s="10">
        <v>47788</v>
      </c>
      <c r="X18" s="10">
        <v>76975</v>
      </c>
      <c r="Y18" s="10">
        <v>10631</v>
      </c>
      <c r="Z18" s="10">
        <v>1439</v>
      </c>
      <c r="AA18" s="10">
        <v>86167</v>
      </c>
      <c r="AB18" s="10">
        <v>4214</v>
      </c>
      <c r="AC18" s="10">
        <v>204479</v>
      </c>
    </row>
    <row r="19" spans="1:29" s="2" customFormat="1" x14ac:dyDescent="0.3">
      <c r="A19" s="12" t="s">
        <v>404</v>
      </c>
      <c r="B19" s="13">
        <v>40108</v>
      </c>
      <c r="C19" s="13">
        <v>25189</v>
      </c>
      <c r="D19" s="13">
        <v>8401</v>
      </c>
      <c r="E19" s="13">
        <v>278</v>
      </c>
      <c r="F19" s="13">
        <v>73978</v>
      </c>
      <c r="G19" s="13">
        <v>763</v>
      </c>
      <c r="H19" s="13">
        <v>74741</v>
      </c>
      <c r="I19" s="13">
        <v>86928</v>
      </c>
      <c r="J19" s="13">
        <v>12516</v>
      </c>
      <c r="K19" s="13">
        <v>31435</v>
      </c>
      <c r="L19" s="13">
        <v>130878</v>
      </c>
      <c r="M19" s="13">
        <v>131641</v>
      </c>
      <c r="N19" s="13">
        <v>46749</v>
      </c>
      <c r="O19" s="13">
        <v>3158</v>
      </c>
      <c r="P19" s="13">
        <v>13396</v>
      </c>
      <c r="Q19" s="13">
        <v>1049</v>
      </c>
      <c r="R19" s="13">
        <v>8221</v>
      </c>
      <c r="S19" s="13">
        <v>58506</v>
      </c>
      <c r="T19" s="13">
        <v>125200</v>
      </c>
      <c r="U19" s="13">
        <v>22122</v>
      </c>
      <c r="V19" s="13">
        <v>41077</v>
      </c>
      <c r="W19" s="13">
        <v>319478</v>
      </c>
      <c r="X19" s="13">
        <v>525097</v>
      </c>
      <c r="Y19" s="13">
        <v>72521</v>
      </c>
      <c r="Z19" s="13">
        <v>9815</v>
      </c>
      <c r="AA19" s="13">
        <v>587803</v>
      </c>
      <c r="AB19" s="13">
        <v>25756</v>
      </c>
      <c r="AC19" s="13">
        <f>AVERAGE(AC14:AC18)</f>
        <v>208255.8</v>
      </c>
    </row>
    <row r="20" spans="1:29" x14ac:dyDescent="0.3">
      <c r="A20" s="31" t="s">
        <v>299</v>
      </c>
      <c r="B20" s="32">
        <v>5179</v>
      </c>
      <c r="C20" s="32">
        <v>3736</v>
      </c>
      <c r="D20" s="32">
        <v>1144</v>
      </c>
      <c r="E20" s="32">
        <v>6</v>
      </c>
      <c r="F20" s="32">
        <v>10065</v>
      </c>
      <c r="G20" s="32">
        <v>301</v>
      </c>
      <c r="H20" s="32">
        <v>10366</v>
      </c>
      <c r="I20" s="32">
        <v>10438</v>
      </c>
      <c r="J20" s="32">
        <v>1503</v>
      </c>
      <c r="K20" s="32">
        <v>3775</v>
      </c>
      <c r="L20" s="32">
        <v>15715</v>
      </c>
      <c r="M20" s="32">
        <v>16016</v>
      </c>
      <c r="N20" s="32">
        <v>5613</v>
      </c>
      <c r="O20" s="32">
        <v>379</v>
      </c>
      <c r="P20" s="32">
        <v>1609</v>
      </c>
      <c r="Q20" s="32">
        <v>126</v>
      </c>
      <c r="R20" s="32">
        <v>987</v>
      </c>
      <c r="S20" s="32">
        <v>7025</v>
      </c>
      <c r="T20" s="32">
        <v>15033</v>
      </c>
      <c r="U20" s="32">
        <v>2656</v>
      </c>
      <c r="V20" s="32">
        <v>4932</v>
      </c>
      <c r="W20" s="32">
        <v>38360</v>
      </c>
      <c r="X20" s="32">
        <v>64441</v>
      </c>
      <c r="Y20" s="32">
        <v>8900</v>
      </c>
      <c r="Z20" s="32">
        <v>1204</v>
      </c>
      <c r="AA20" s="32">
        <v>72136</v>
      </c>
      <c r="AB20" s="32">
        <v>4077</v>
      </c>
      <c r="AC20" s="32">
        <v>176953</v>
      </c>
    </row>
    <row r="21" spans="1:29" x14ac:dyDescent="0.3">
      <c r="A21" s="31" t="s">
        <v>300</v>
      </c>
      <c r="B21" s="32">
        <v>5231</v>
      </c>
      <c r="C21" s="32">
        <v>1723</v>
      </c>
      <c r="D21" s="32">
        <v>1551</v>
      </c>
      <c r="E21" s="32">
        <v>59</v>
      </c>
      <c r="F21" s="32">
        <v>8564</v>
      </c>
      <c r="G21" s="32">
        <v>811</v>
      </c>
      <c r="H21" s="32">
        <v>9375</v>
      </c>
      <c r="I21" s="32">
        <v>3238</v>
      </c>
      <c r="J21" s="32">
        <v>466</v>
      </c>
      <c r="K21" s="32">
        <v>1171</v>
      </c>
      <c r="L21" s="32">
        <v>4875</v>
      </c>
      <c r="M21" s="32">
        <v>5687</v>
      </c>
      <c r="N21" s="32">
        <v>1741</v>
      </c>
      <c r="O21" s="32">
        <v>118</v>
      </c>
      <c r="P21" s="32">
        <v>499</v>
      </c>
      <c r="Q21" s="32">
        <v>39</v>
      </c>
      <c r="R21" s="32">
        <v>306</v>
      </c>
      <c r="S21" s="32">
        <v>2179</v>
      </c>
      <c r="T21" s="32">
        <v>4664</v>
      </c>
      <c r="U21" s="32">
        <v>824</v>
      </c>
      <c r="V21" s="32">
        <v>1530</v>
      </c>
      <c r="W21" s="32">
        <v>11901</v>
      </c>
      <c r="X21" s="32">
        <v>26151</v>
      </c>
      <c r="Y21" s="32">
        <v>3612</v>
      </c>
      <c r="Z21" s="32">
        <v>489</v>
      </c>
      <c r="AA21" s="32">
        <v>29274</v>
      </c>
      <c r="AB21" s="32">
        <v>2101</v>
      </c>
      <c r="AC21" s="32">
        <v>139331</v>
      </c>
    </row>
    <row r="22" spans="1:29" x14ac:dyDescent="0.3">
      <c r="A22" s="31" t="s">
        <v>301</v>
      </c>
      <c r="B22" s="32">
        <v>3824</v>
      </c>
      <c r="C22" s="32">
        <v>1255</v>
      </c>
      <c r="D22" s="32">
        <v>279</v>
      </c>
      <c r="E22" s="32">
        <v>25</v>
      </c>
      <c r="F22" s="32">
        <v>5383</v>
      </c>
      <c r="G22" s="32">
        <v>574</v>
      </c>
      <c r="H22" s="32">
        <v>5957</v>
      </c>
      <c r="I22" s="32">
        <v>3322</v>
      </c>
      <c r="J22" s="32">
        <v>478</v>
      </c>
      <c r="K22" s="32">
        <v>1201</v>
      </c>
      <c r="L22" s="32">
        <v>5002</v>
      </c>
      <c r="M22" s="32">
        <v>5576</v>
      </c>
      <c r="N22" s="32">
        <v>1787</v>
      </c>
      <c r="O22" s="32">
        <v>121</v>
      </c>
      <c r="P22" s="32">
        <v>512</v>
      </c>
      <c r="Q22" s="32">
        <v>40</v>
      </c>
      <c r="R22" s="32">
        <v>314</v>
      </c>
      <c r="S22" s="32">
        <v>2236</v>
      </c>
      <c r="T22" s="32">
        <v>4785</v>
      </c>
      <c r="U22" s="32">
        <v>845</v>
      </c>
      <c r="V22" s="32">
        <v>1570</v>
      </c>
      <c r="W22" s="32">
        <v>12209</v>
      </c>
      <c r="X22" s="32">
        <v>23168</v>
      </c>
      <c r="Y22" s="32">
        <v>3200</v>
      </c>
      <c r="Z22" s="32">
        <v>433</v>
      </c>
      <c r="AA22" s="32">
        <v>25935</v>
      </c>
      <c r="AB22" s="32">
        <v>1995</v>
      </c>
      <c r="AC22" s="32">
        <v>130020</v>
      </c>
    </row>
    <row r="23" spans="1:29" x14ac:dyDescent="0.3">
      <c r="A23" s="31" t="s">
        <v>302</v>
      </c>
      <c r="B23" s="32">
        <v>2853</v>
      </c>
      <c r="C23" s="32">
        <v>855</v>
      </c>
      <c r="D23" s="32">
        <v>121</v>
      </c>
      <c r="E23" s="32">
        <v>17</v>
      </c>
      <c r="F23" s="32">
        <v>3846</v>
      </c>
      <c r="G23" s="32">
        <v>366</v>
      </c>
      <c r="H23" s="32">
        <v>4212</v>
      </c>
      <c r="I23" s="32">
        <v>1563</v>
      </c>
      <c r="J23" s="32">
        <v>225</v>
      </c>
      <c r="K23" s="32">
        <v>565</v>
      </c>
      <c r="L23" s="32">
        <v>2353</v>
      </c>
      <c r="M23" s="32">
        <v>2719</v>
      </c>
      <c r="N23" s="32">
        <v>840</v>
      </c>
      <c r="O23" s="32">
        <v>57</v>
      </c>
      <c r="P23" s="32">
        <v>241</v>
      </c>
      <c r="Q23" s="32">
        <v>19</v>
      </c>
      <c r="R23" s="32">
        <v>148</v>
      </c>
      <c r="S23" s="32">
        <v>1052</v>
      </c>
      <c r="T23" s="32">
        <v>2251</v>
      </c>
      <c r="U23" s="32">
        <v>398</v>
      </c>
      <c r="V23" s="32">
        <v>738</v>
      </c>
      <c r="W23" s="32">
        <v>5743</v>
      </c>
      <c r="X23" s="32">
        <v>12308</v>
      </c>
      <c r="Y23" s="32">
        <v>1700</v>
      </c>
      <c r="Z23" s="32">
        <v>230</v>
      </c>
      <c r="AA23" s="32">
        <v>13778</v>
      </c>
      <c r="AB23" s="32">
        <v>1257</v>
      </c>
      <c r="AC23" s="32">
        <v>109608</v>
      </c>
    </row>
    <row r="24" spans="1:29" x14ac:dyDescent="0.3">
      <c r="A24" s="31" t="s">
        <v>303</v>
      </c>
      <c r="B24" s="32">
        <v>6400</v>
      </c>
      <c r="C24" s="32">
        <v>2174</v>
      </c>
      <c r="D24" s="32">
        <v>399</v>
      </c>
      <c r="E24" s="32">
        <v>84</v>
      </c>
      <c r="F24" s="32">
        <v>9056</v>
      </c>
      <c r="G24" s="32">
        <v>542</v>
      </c>
      <c r="H24" s="32">
        <v>9599</v>
      </c>
      <c r="I24" s="32">
        <v>4426</v>
      </c>
      <c r="J24" s="32">
        <v>637</v>
      </c>
      <c r="K24" s="32">
        <v>1601</v>
      </c>
      <c r="L24" s="32">
        <v>6664</v>
      </c>
      <c r="M24" s="32">
        <v>7207</v>
      </c>
      <c r="N24" s="32">
        <v>2380</v>
      </c>
      <c r="O24" s="32">
        <v>161</v>
      </c>
      <c r="P24" s="32">
        <v>682</v>
      </c>
      <c r="Q24" s="32">
        <v>53</v>
      </c>
      <c r="R24" s="32">
        <v>419</v>
      </c>
      <c r="S24" s="32">
        <v>2979</v>
      </c>
      <c r="T24" s="32">
        <v>6375</v>
      </c>
      <c r="U24" s="32">
        <v>1126</v>
      </c>
      <c r="V24" s="32">
        <v>2092</v>
      </c>
      <c r="W24" s="32">
        <v>16268</v>
      </c>
      <c r="X24" s="32">
        <v>32531</v>
      </c>
      <c r="Y24" s="32">
        <v>4493</v>
      </c>
      <c r="Z24" s="32">
        <v>608</v>
      </c>
      <c r="AA24" s="32">
        <v>36416</v>
      </c>
      <c r="AB24" s="32">
        <v>2774</v>
      </c>
      <c r="AC24" s="32">
        <v>131258</v>
      </c>
    </row>
    <row r="25" spans="1:29" x14ac:dyDescent="0.3">
      <c r="A25" s="31" t="s">
        <v>304</v>
      </c>
      <c r="B25" s="32">
        <v>5046</v>
      </c>
      <c r="C25" s="32">
        <v>2559</v>
      </c>
      <c r="D25" s="32">
        <v>1098</v>
      </c>
      <c r="E25" s="32">
        <v>118</v>
      </c>
      <c r="F25" s="32">
        <v>8821</v>
      </c>
      <c r="G25" s="32">
        <v>100</v>
      </c>
      <c r="H25" s="32">
        <v>8921</v>
      </c>
      <c r="I25" s="32">
        <v>6643</v>
      </c>
      <c r="J25" s="32">
        <v>956</v>
      </c>
      <c r="K25" s="32">
        <v>2402</v>
      </c>
      <c r="L25" s="32">
        <v>10002</v>
      </c>
      <c r="M25" s="32">
        <v>10102</v>
      </c>
      <c r="N25" s="32">
        <v>3573</v>
      </c>
      <c r="O25" s="32">
        <v>241</v>
      </c>
      <c r="P25" s="32">
        <v>1024</v>
      </c>
      <c r="Q25" s="32">
        <v>80</v>
      </c>
      <c r="R25" s="32">
        <v>628</v>
      </c>
      <c r="S25" s="32">
        <v>4471</v>
      </c>
      <c r="T25" s="32">
        <v>9568</v>
      </c>
      <c r="U25" s="32">
        <v>1691</v>
      </c>
      <c r="V25" s="32">
        <v>3139</v>
      </c>
      <c r="W25" s="32">
        <v>24415</v>
      </c>
      <c r="X25" s="32">
        <v>43337</v>
      </c>
      <c r="Y25" s="32">
        <v>5985</v>
      </c>
      <c r="Z25" s="32">
        <v>810</v>
      </c>
      <c r="AA25" s="32">
        <v>48513</v>
      </c>
      <c r="AB25" s="32">
        <v>3636</v>
      </c>
      <c r="AC25" s="32">
        <v>133410</v>
      </c>
    </row>
    <row r="26" spans="1:29" x14ac:dyDescent="0.3">
      <c r="A26" s="31" t="s">
        <v>305</v>
      </c>
      <c r="B26" s="32">
        <v>5721</v>
      </c>
      <c r="C26" s="32">
        <v>1745</v>
      </c>
      <c r="D26" s="32">
        <v>450</v>
      </c>
      <c r="E26" s="32">
        <v>27</v>
      </c>
      <c r="F26" s="32">
        <v>7942</v>
      </c>
      <c r="G26" s="32">
        <v>100</v>
      </c>
      <c r="H26" s="32">
        <v>8042</v>
      </c>
      <c r="I26" s="32">
        <v>2792</v>
      </c>
      <c r="J26" s="32">
        <v>402</v>
      </c>
      <c r="K26" s="32">
        <v>1010</v>
      </c>
      <c r="L26" s="32">
        <v>4204</v>
      </c>
      <c r="M26" s="32">
        <v>4304</v>
      </c>
      <c r="N26" s="32">
        <v>1502</v>
      </c>
      <c r="O26" s="32">
        <v>101</v>
      </c>
      <c r="P26" s="32">
        <v>430</v>
      </c>
      <c r="Q26" s="32">
        <v>34</v>
      </c>
      <c r="R26" s="32">
        <v>264</v>
      </c>
      <c r="S26" s="32">
        <v>1879</v>
      </c>
      <c r="T26" s="32">
        <v>4021</v>
      </c>
      <c r="U26" s="32">
        <v>711</v>
      </c>
      <c r="V26" s="32">
        <v>1319</v>
      </c>
      <c r="W26" s="32">
        <v>10261</v>
      </c>
      <c r="X26" s="32">
        <v>22507</v>
      </c>
      <c r="Y26" s="32">
        <v>3108</v>
      </c>
      <c r="Z26" s="32">
        <v>421</v>
      </c>
      <c r="AA26" s="32">
        <v>25195</v>
      </c>
      <c r="AB26" s="32">
        <v>1773</v>
      </c>
      <c r="AC26" s="32">
        <v>142087</v>
      </c>
    </row>
    <row r="27" spans="1:29" x14ac:dyDescent="0.3">
      <c r="A27" s="31" t="s">
        <v>306</v>
      </c>
      <c r="B27" s="32">
        <v>4994</v>
      </c>
      <c r="C27" s="32">
        <v>1157</v>
      </c>
      <c r="D27" s="32">
        <v>2992</v>
      </c>
      <c r="E27" s="32">
        <v>97</v>
      </c>
      <c r="F27" s="32">
        <v>9240</v>
      </c>
      <c r="G27" s="32">
        <v>249</v>
      </c>
      <c r="H27" s="32">
        <v>9489</v>
      </c>
      <c r="I27" s="32">
        <v>4912</v>
      </c>
      <c r="J27" s="32">
        <v>707</v>
      </c>
      <c r="K27" s="32">
        <v>1776</v>
      </c>
      <c r="L27" s="32">
        <v>7395</v>
      </c>
      <c r="M27" s="32">
        <v>7644</v>
      </c>
      <c r="N27" s="32">
        <v>2642</v>
      </c>
      <c r="O27" s="32">
        <v>178</v>
      </c>
      <c r="P27" s="32">
        <v>757</v>
      </c>
      <c r="Q27" s="32">
        <v>59</v>
      </c>
      <c r="R27" s="32">
        <v>465</v>
      </c>
      <c r="S27" s="32">
        <v>3306</v>
      </c>
      <c r="T27" s="32">
        <v>7074</v>
      </c>
      <c r="U27" s="32">
        <v>1250</v>
      </c>
      <c r="V27" s="32">
        <v>2321</v>
      </c>
      <c r="W27" s="32">
        <v>18052</v>
      </c>
      <c r="X27" s="32">
        <v>34936</v>
      </c>
      <c r="Y27" s="32">
        <v>4825</v>
      </c>
      <c r="Z27" s="32">
        <v>653</v>
      </c>
      <c r="AA27" s="32">
        <v>39108</v>
      </c>
      <c r="AB27" s="32">
        <v>2650</v>
      </c>
      <c r="AC27" s="32">
        <v>147575</v>
      </c>
    </row>
    <row r="28" spans="1:29" s="2" customFormat="1" x14ac:dyDescent="0.3">
      <c r="A28" s="14" t="s">
        <v>403</v>
      </c>
      <c r="B28" s="15">
        <v>39248</v>
      </c>
      <c r="C28" s="15">
        <v>15204</v>
      </c>
      <c r="D28" s="15">
        <v>8034</v>
      </c>
      <c r="E28" s="15">
        <v>433</v>
      </c>
      <c r="F28" s="15">
        <v>62917</v>
      </c>
      <c r="G28" s="15">
        <v>3043</v>
      </c>
      <c r="H28" s="15">
        <v>65961</v>
      </c>
      <c r="I28" s="15">
        <v>37334</v>
      </c>
      <c r="J28" s="15">
        <v>5374</v>
      </c>
      <c r="K28" s="15">
        <v>13501</v>
      </c>
      <c r="L28" s="15">
        <v>56210</v>
      </c>
      <c r="M28" s="15">
        <v>59255</v>
      </c>
      <c r="N28" s="15">
        <v>20078</v>
      </c>
      <c r="O28" s="15">
        <v>1356</v>
      </c>
      <c r="P28" s="15">
        <v>5754</v>
      </c>
      <c r="Q28" s="15">
        <v>450</v>
      </c>
      <c r="R28" s="15">
        <v>3531</v>
      </c>
      <c r="S28" s="15">
        <v>25127</v>
      </c>
      <c r="T28" s="15">
        <v>53771</v>
      </c>
      <c r="U28" s="15">
        <v>9501</v>
      </c>
      <c r="V28" s="15">
        <v>17641</v>
      </c>
      <c r="W28" s="15">
        <v>137209</v>
      </c>
      <c r="X28" s="15">
        <v>259379</v>
      </c>
      <c r="Y28" s="15">
        <v>35823</v>
      </c>
      <c r="Z28" s="15">
        <v>4848</v>
      </c>
      <c r="AA28" s="15">
        <v>290355</v>
      </c>
      <c r="AB28" s="15">
        <v>20263</v>
      </c>
      <c r="AC28" s="15">
        <f>AVERAGE(AC20:AC27)</f>
        <v>138780.25</v>
      </c>
    </row>
    <row r="29" spans="1:29" x14ac:dyDescent="0.3">
      <c r="A29" s="34" t="s">
        <v>307</v>
      </c>
      <c r="B29" s="35">
        <v>5977</v>
      </c>
      <c r="C29" s="35">
        <v>1883</v>
      </c>
      <c r="D29" s="35">
        <v>293</v>
      </c>
      <c r="E29" s="35">
        <v>10</v>
      </c>
      <c r="F29" s="35">
        <v>8162</v>
      </c>
      <c r="G29" s="35">
        <v>202</v>
      </c>
      <c r="H29" s="35">
        <v>8364</v>
      </c>
      <c r="I29" s="35">
        <v>3751</v>
      </c>
      <c r="J29" s="35">
        <v>540</v>
      </c>
      <c r="K29" s="35">
        <v>1357</v>
      </c>
      <c r="L29" s="35">
        <v>5648</v>
      </c>
      <c r="M29" s="35">
        <v>5850</v>
      </c>
      <c r="N29" s="35">
        <v>2017</v>
      </c>
      <c r="O29" s="35">
        <v>136</v>
      </c>
      <c r="P29" s="35">
        <v>578</v>
      </c>
      <c r="Q29" s="35">
        <v>45</v>
      </c>
      <c r="R29" s="35">
        <v>355</v>
      </c>
      <c r="S29" s="35">
        <v>2525</v>
      </c>
      <c r="T29" s="35">
        <v>5403</v>
      </c>
      <c r="U29" s="35">
        <v>955</v>
      </c>
      <c r="V29" s="35">
        <v>1773</v>
      </c>
      <c r="W29" s="35">
        <v>13787</v>
      </c>
      <c r="X29" s="35">
        <v>27799</v>
      </c>
      <c r="Y29" s="35">
        <v>3839</v>
      </c>
      <c r="Z29" s="35">
        <v>520</v>
      </c>
      <c r="AA29" s="35">
        <v>31119</v>
      </c>
      <c r="AB29" s="35">
        <v>2780</v>
      </c>
      <c r="AC29" s="35">
        <v>111950</v>
      </c>
    </row>
    <row r="30" spans="1:29" x14ac:dyDescent="0.3">
      <c r="A30" s="34" t="s">
        <v>308</v>
      </c>
      <c r="B30" s="35">
        <v>3021</v>
      </c>
      <c r="C30" s="35">
        <v>842</v>
      </c>
      <c r="D30" s="35">
        <v>225</v>
      </c>
      <c r="E30" s="35">
        <v>26</v>
      </c>
      <c r="F30" s="35">
        <v>4114</v>
      </c>
      <c r="G30" s="35">
        <v>165</v>
      </c>
      <c r="H30" s="35">
        <v>4280</v>
      </c>
      <c r="I30" s="35">
        <v>4214</v>
      </c>
      <c r="J30" s="35">
        <v>607</v>
      </c>
      <c r="K30" s="35">
        <v>1524</v>
      </c>
      <c r="L30" s="35">
        <v>6345</v>
      </c>
      <c r="M30" s="35">
        <v>6510</v>
      </c>
      <c r="N30" s="35">
        <v>2266</v>
      </c>
      <c r="O30" s="35">
        <v>153</v>
      </c>
      <c r="P30" s="35">
        <v>649</v>
      </c>
      <c r="Q30" s="35">
        <v>51</v>
      </c>
      <c r="R30" s="35">
        <v>399</v>
      </c>
      <c r="S30" s="35">
        <v>2836</v>
      </c>
      <c r="T30" s="35">
        <v>6069</v>
      </c>
      <c r="U30" s="35">
        <v>1072</v>
      </c>
      <c r="V30" s="35">
        <v>1991</v>
      </c>
      <c r="W30" s="35">
        <v>15487</v>
      </c>
      <c r="X30" s="35">
        <v>26112</v>
      </c>
      <c r="Y30" s="35">
        <v>3606</v>
      </c>
      <c r="Z30" s="35">
        <v>488</v>
      </c>
      <c r="AA30" s="35">
        <v>29230</v>
      </c>
      <c r="AB30" s="35">
        <v>1989</v>
      </c>
      <c r="AC30" s="35">
        <v>146953</v>
      </c>
    </row>
    <row r="31" spans="1:29" x14ac:dyDescent="0.3">
      <c r="A31" s="34" t="s">
        <v>309</v>
      </c>
      <c r="B31" s="35">
        <v>3272</v>
      </c>
      <c r="C31" s="35">
        <v>525</v>
      </c>
      <c r="D31" s="35">
        <v>161</v>
      </c>
      <c r="E31" s="35">
        <v>30</v>
      </c>
      <c r="F31" s="35">
        <v>3988</v>
      </c>
      <c r="G31" s="35">
        <v>46</v>
      </c>
      <c r="H31" s="35">
        <v>4034</v>
      </c>
      <c r="I31" s="35">
        <v>1523</v>
      </c>
      <c r="J31" s="35">
        <v>219</v>
      </c>
      <c r="K31" s="35">
        <v>551</v>
      </c>
      <c r="L31" s="35">
        <v>2294</v>
      </c>
      <c r="M31" s="35">
        <v>2340</v>
      </c>
      <c r="N31" s="35">
        <v>819</v>
      </c>
      <c r="O31" s="35">
        <v>55</v>
      </c>
      <c r="P31" s="35">
        <v>235</v>
      </c>
      <c r="Q31" s="35">
        <v>18</v>
      </c>
      <c r="R31" s="35">
        <v>144</v>
      </c>
      <c r="S31" s="35">
        <v>1025</v>
      </c>
      <c r="T31" s="35">
        <v>2194</v>
      </c>
      <c r="U31" s="35">
        <v>388</v>
      </c>
      <c r="V31" s="35">
        <v>720</v>
      </c>
      <c r="W31" s="35">
        <v>5599</v>
      </c>
      <c r="X31" s="35">
        <v>11926</v>
      </c>
      <c r="Y31" s="35">
        <v>1647</v>
      </c>
      <c r="Z31" s="35">
        <v>223</v>
      </c>
      <c r="AA31" s="35">
        <v>13350</v>
      </c>
      <c r="AB31" s="35">
        <v>1282</v>
      </c>
      <c r="AC31" s="35">
        <v>104163</v>
      </c>
    </row>
    <row r="32" spans="1:29" x14ac:dyDescent="0.3">
      <c r="A32" s="34" t="s">
        <v>310</v>
      </c>
      <c r="B32" s="35">
        <v>6182</v>
      </c>
      <c r="C32" s="35">
        <v>1891</v>
      </c>
      <c r="D32" s="35">
        <v>968</v>
      </c>
      <c r="E32" s="35">
        <v>51</v>
      </c>
      <c r="F32" s="35">
        <v>9091</v>
      </c>
      <c r="G32" s="35">
        <v>361</v>
      </c>
      <c r="H32" s="35">
        <v>9452</v>
      </c>
      <c r="I32" s="35">
        <v>5964</v>
      </c>
      <c r="J32" s="35">
        <v>859</v>
      </c>
      <c r="K32" s="35">
        <v>2157</v>
      </c>
      <c r="L32" s="35">
        <v>8980</v>
      </c>
      <c r="M32" s="35">
        <v>9341</v>
      </c>
      <c r="N32" s="35">
        <v>3208</v>
      </c>
      <c r="O32" s="35">
        <v>217</v>
      </c>
      <c r="P32" s="35">
        <v>919</v>
      </c>
      <c r="Q32" s="35">
        <v>72</v>
      </c>
      <c r="R32" s="35">
        <v>564</v>
      </c>
      <c r="S32" s="35">
        <v>4014</v>
      </c>
      <c r="T32" s="35">
        <v>8590</v>
      </c>
      <c r="U32" s="35">
        <v>1518</v>
      </c>
      <c r="V32" s="35">
        <v>2818</v>
      </c>
      <c r="W32" s="35">
        <v>21920</v>
      </c>
      <c r="X32" s="35">
        <v>40352</v>
      </c>
      <c r="Y32" s="35">
        <v>5573</v>
      </c>
      <c r="Z32" s="35">
        <v>754</v>
      </c>
      <c r="AA32" s="35">
        <v>45170</v>
      </c>
      <c r="AB32" s="35">
        <v>3155</v>
      </c>
      <c r="AC32" s="35">
        <v>143191</v>
      </c>
    </row>
    <row r="33" spans="1:29" x14ac:dyDescent="0.3">
      <c r="A33" s="34" t="s">
        <v>311</v>
      </c>
      <c r="B33" s="35">
        <v>4147</v>
      </c>
      <c r="C33" s="35">
        <v>1840</v>
      </c>
      <c r="D33" s="35">
        <v>1612</v>
      </c>
      <c r="E33" s="35">
        <v>69</v>
      </c>
      <c r="F33" s="35">
        <v>7669</v>
      </c>
      <c r="G33" s="35">
        <v>1641</v>
      </c>
      <c r="H33" s="35">
        <v>9310</v>
      </c>
      <c r="I33" s="35">
        <v>4313</v>
      </c>
      <c r="J33" s="35">
        <v>621</v>
      </c>
      <c r="K33" s="35">
        <v>1560</v>
      </c>
      <c r="L33" s="35">
        <v>6494</v>
      </c>
      <c r="M33" s="35">
        <v>8135</v>
      </c>
      <c r="N33" s="35">
        <v>2320</v>
      </c>
      <c r="O33" s="35">
        <v>157</v>
      </c>
      <c r="P33" s="35">
        <v>665</v>
      </c>
      <c r="Q33" s="35">
        <v>52</v>
      </c>
      <c r="R33" s="35">
        <v>408</v>
      </c>
      <c r="S33" s="35">
        <v>2903</v>
      </c>
      <c r="T33" s="35">
        <v>6212</v>
      </c>
      <c r="U33" s="35">
        <v>1098</v>
      </c>
      <c r="V33" s="35">
        <v>2038</v>
      </c>
      <c r="W33" s="35">
        <v>15852</v>
      </c>
      <c r="X33" s="35">
        <v>31656</v>
      </c>
      <c r="Y33" s="35">
        <v>4372</v>
      </c>
      <c r="Z33" s="35">
        <v>592</v>
      </c>
      <c r="AA33" s="35">
        <v>35436</v>
      </c>
      <c r="AB33" s="35">
        <v>2981</v>
      </c>
      <c r="AC33" s="35">
        <v>118879</v>
      </c>
    </row>
    <row r="34" spans="1:29" s="2" customFormat="1" x14ac:dyDescent="0.3">
      <c r="A34" s="16" t="s">
        <v>407</v>
      </c>
      <c r="B34" s="17">
        <v>22599</v>
      </c>
      <c r="C34" s="17">
        <v>6981</v>
      </c>
      <c r="D34" s="17">
        <v>3259</v>
      </c>
      <c r="E34" s="17">
        <v>186</v>
      </c>
      <c r="F34" s="17">
        <v>33024</v>
      </c>
      <c r="G34" s="17">
        <v>2415</v>
      </c>
      <c r="H34" s="17">
        <v>35440</v>
      </c>
      <c r="I34" s="17">
        <v>19765</v>
      </c>
      <c r="J34" s="17">
        <v>2846</v>
      </c>
      <c r="K34" s="17">
        <v>7149</v>
      </c>
      <c r="L34" s="17">
        <v>29761</v>
      </c>
      <c r="M34" s="17">
        <v>32176</v>
      </c>
      <c r="N34" s="17">
        <v>10630</v>
      </c>
      <c r="O34" s="17">
        <v>718</v>
      </c>
      <c r="P34" s="17">
        <v>3046</v>
      </c>
      <c r="Q34" s="17">
        <v>238</v>
      </c>
      <c r="R34" s="17">
        <v>1870</v>
      </c>
      <c r="S34" s="17">
        <v>13303</v>
      </c>
      <c r="T34" s="17">
        <v>28468</v>
      </c>
      <c r="U34" s="17">
        <v>5031</v>
      </c>
      <c r="V34" s="17">
        <v>9340</v>
      </c>
      <c r="W34" s="17">
        <v>72645</v>
      </c>
      <c r="X34" s="17">
        <v>137845</v>
      </c>
      <c r="Y34" s="17">
        <v>19037</v>
      </c>
      <c r="Z34" s="17">
        <v>2577</v>
      </c>
      <c r="AA34" s="17">
        <v>154305</v>
      </c>
      <c r="AB34" s="17">
        <v>12187</v>
      </c>
      <c r="AC34" s="17">
        <f>AVERAGE(AC29:AC33)</f>
        <v>125027.2</v>
      </c>
    </row>
    <row r="35" spans="1:29" x14ac:dyDescent="0.3">
      <c r="A35" s="20" t="s">
        <v>312</v>
      </c>
      <c r="B35" s="21">
        <v>2708</v>
      </c>
      <c r="C35" s="21">
        <v>719</v>
      </c>
      <c r="D35" s="21">
        <v>1232</v>
      </c>
      <c r="E35" s="21">
        <v>11</v>
      </c>
      <c r="F35" s="21">
        <v>4670</v>
      </c>
      <c r="G35" s="21">
        <v>386</v>
      </c>
      <c r="H35" s="21">
        <v>5056</v>
      </c>
      <c r="I35" s="21">
        <v>3086</v>
      </c>
      <c r="J35" s="21">
        <v>444</v>
      </c>
      <c r="K35" s="21">
        <v>1116</v>
      </c>
      <c r="L35" s="21">
        <v>4647</v>
      </c>
      <c r="M35" s="21">
        <v>5033</v>
      </c>
      <c r="N35" s="21">
        <v>1660</v>
      </c>
      <c r="O35" s="21">
        <v>112</v>
      </c>
      <c r="P35" s="21">
        <v>476</v>
      </c>
      <c r="Q35" s="21">
        <v>37</v>
      </c>
      <c r="R35" s="21">
        <v>292</v>
      </c>
      <c r="S35" s="21">
        <v>2077</v>
      </c>
      <c r="T35" s="21">
        <v>4445</v>
      </c>
      <c r="U35" s="21">
        <v>785</v>
      </c>
      <c r="V35" s="21">
        <v>1458</v>
      </c>
      <c r="W35" s="21">
        <v>11343</v>
      </c>
      <c r="X35" s="21">
        <v>21046</v>
      </c>
      <c r="Y35" s="21">
        <v>2907</v>
      </c>
      <c r="Z35" s="21">
        <v>393</v>
      </c>
      <c r="AA35" s="21">
        <v>23559</v>
      </c>
      <c r="AB35" s="21">
        <v>1415</v>
      </c>
      <c r="AC35" s="21">
        <v>166446</v>
      </c>
    </row>
    <row r="36" spans="1:29" x14ac:dyDescent="0.3">
      <c r="A36" s="20" t="s">
        <v>313</v>
      </c>
      <c r="B36" s="21">
        <v>4976</v>
      </c>
      <c r="C36" s="21">
        <v>1378</v>
      </c>
      <c r="D36" s="21">
        <v>1164</v>
      </c>
      <c r="E36" s="21">
        <v>121</v>
      </c>
      <c r="F36" s="21">
        <v>7639</v>
      </c>
      <c r="G36" s="21">
        <v>1579</v>
      </c>
      <c r="H36" s="21">
        <v>9219</v>
      </c>
      <c r="I36" s="21">
        <v>20484</v>
      </c>
      <c r="J36" s="21">
        <v>2949</v>
      </c>
      <c r="K36" s="21">
        <v>7407</v>
      </c>
      <c r="L36" s="21">
        <v>30840</v>
      </c>
      <c r="M36" s="21">
        <v>32419</v>
      </c>
      <c r="N36" s="21">
        <v>11016</v>
      </c>
      <c r="O36" s="21">
        <v>744</v>
      </c>
      <c r="P36" s="21">
        <v>3157</v>
      </c>
      <c r="Q36" s="21">
        <v>247</v>
      </c>
      <c r="R36" s="21">
        <v>1937</v>
      </c>
      <c r="S36" s="21">
        <v>13786</v>
      </c>
      <c r="T36" s="21">
        <v>29502</v>
      </c>
      <c r="U36" s="21">
        <v>5213</v>
      </c>
      <c r="V36" s="21">
        <v>9679</v>
      </c>
      <c r="W36" s="21">
        <v>75281</v>
      </c>
      <c r="X36" s="21">
        <v>115340</v>
      </c>
      <c r="Y36" s="21">
        <v>15929</v>
      </c>
      <c r="Z36" s="21">
        <v>2156</v>
      </c>
      <c r="AA36" s="21">
        <v>129113</v>
      </c>
      <c r="AB36" s="21">
        <v>5260</v>
      </c>
      <c r="AC36" s="21">
        <v>245456</v>
      </c>
    </row>
    <row r="37" spans="1:29" x14ac:dyDescent="0.3">
      <c r="A37" s="20" t="s">
        <v>314</v>
      </c>
      <c r="B37" s="21">
        <v>1767</v>
      </c>
      <c r="C37" s="21">
        <v>499</v>
      </c>
      <c r="D37" s="21">
        <v>1184</v>
      </c>
      <c r="E37" s="21">
        <v>87</v>
      </c>
      <c r="F37" s="21">
        <v>3538</v>
      </c>
      <c r="G37" s="21">
        <v>1900</v>
      </c>
      <c r="H37" s="21">
        <v>5438</v>
      </c>
      <c r="I37" s="21">
        <v>2037</v>
      </c>
      <c r="J37" s="21">
        <v>293</v>
      </c>
      <c r="K37" s="21">
        <v>736</v>
      </c>
      <c r="L37" s="21">
        <v>3066</v>
      </c>
      <c r="M37" s="21">
        <v>4967</v>
      </c>
      <c r="N37" s="21">
        <v>1095</v>
      </c>
      <c r="O37" s="21">
        <v>74</v>
      </c>
      <c r="P37" s="21">
        <v>314</v>
      </c>
      <c r="Q37" s="21">
        <v>25</v>
      </c>
      <c r="R37" s="21">
        <v>193</v>
      </c>
      <c r="S37" s="21">
        <v>1371</v>
      </c>
      <c r="T37" s="21">
        <v>2933</v>
      </c>
      <c r="U37" s="21">
        <v>518</v>
      </c>
      <c r="V37" s="21">
        <v>962</v>
      </c>
      <c r="W37" s="21">
        <v>7485</v>
      </c>
      <c r="X37" s="21">
        <v>15989</v>
      </c>
      <c r="Y37" s="21">
        <v>2208</v>
      </c>
      <c r="Z37" s="21">
        <v>299</v>
      </c>
      <c r="AA37" s="21">
        <v>17899</v>
      </c>
      <c r="AB37" s="21">
        <v>1288</v>
      </c>
      <c r="AC37" s="21">
        <v>139004</v>
      </c>
    </row>
    <row r="38" spans="1:29" x14ac:dyDescent="0.3">
      <c r="A38" s="20" t="s">
        <v>315</v>
      </c>
      <c r="B38" s="21">
        <v>1617</v>
      </c>
      <c r="C38" s="21">
        <v>679</v>
      </c>
      <c r="D38" s="21">
        <v>443</v>
      </c>
      <c r="E38" s="21">
        <v>96</v>
      </c>
      <c r="F38" s="21">
        <v>2835</v>
      </c>
      <c r="G38" s="21">
        <v>2152</v>
      </c>
      <c r="H38" s="21">
        <v>4987</v>
      </c>
      <c r="I38" s="21">
        <v>2339</v>
      </c>
      <c r="J38" s="21">
        <v>337</v>
      </c>
      <c r="K38" s="21">
        <v>846</v>
      </c>
      <c r="L38" s="21">
        <v>3522</v>
      </c>
      <c r="M38" s="21">
        <v>5674</v>
      </c>
      <c r="N38" s="21">
        <v>1258</v>
      </c>
      <c r="O38" s="21">
        <v>85</v>
      </c>
      <c r="P38" s="21">
        <v>360</v>
      </c>
      <c r="Q38" s="21">
        <v>28</v>
      </c>
      <c r="R38" s="21">
        <v>221</v>
      </c>
      <c r="S38" s="21">
        <v>1574</v>
      </c>
      <c r="T38" s="21">
        <v>3369</v>
      </c>
      <c r="U38" s="21">
        <v>595</v>
      </c>
      <c r="V38" s="21">
        <v>1105</v>
      </c>
      <c r="W38" s="21">
        <v>8597</v>
      </c>
      <c r="X38" s="21">
        <v>17106</v>
      </c>
      <c r="Y38" s="21">
        <v>2363</v>
      </c>
      <c r="Z38" s="21">
        <v>320</v>
      </c>
      <c r="AA38" s="21">
        <v>19149</v>
      </c>
      <c r="AB38" s="21">
        <v>1415</v>
      </c>
      <c r="AC38" s="21">
        <v>135333</v>
      </c>
    </row>
    <row r="39" spans="1:29" x14ac:dyDescent="0.3">
      <c r="A39" s="20" t="s">
        <v>316</v>
      </c>
      <c r="B39" s="21">
        <v>2737</v>
      </c>
      <c r="C39" s="21">
        <v>871</v>
      </c>
      <c r="D39" s="21">
        <v>2873</v>
      </c>
      <c r="E39" s="21">
        <v>148</v>
      </c>
      <c r="F39" s="21">
        <v>6628</v>
      </c>
      <c r="G39" s="21">
        <v>3154</v>
      </c>
      <c r="H39" s="21">
        <v>9782</v>
      </c>
      <c r="I39" s="21">
        <v>5085</v>
      </c>
      <c r="J39" s="21">
        <v>732</v>
      </c>
      <c r="K39" s="21">
        <v>1839</v>
      </c>
      <c r="L39" s="21">
        <v>7655</v>
      </c>
      <c r="M39" s="21">
        <v>10809</v>
      </c>
      <c r="N39" s="21">
        <v>2734</v>
      </c>
      <c r="O39" s="21">
        <v>185</v>
      </c>
      <c r="P39" s="21">
        <v>784</v>
      </c>
      <c r="Q39" s="21">
        <v>61</v>
      </c>
      <c r="R39" s="21">
        <v>481</v>
      </c>
      <c r="S39" s="21">
        <v>3422</v>
      </c>
      <c r="T39" s="21">
        <v>7323</v>
      </c>
      <c r="U39" s="21">
        <v>1294</v>
      </c>
      <c r="V39" s="21">
        <v>2403</v>
      </c>
      <c r="W39" s="21">
        <v>18687</v>
      </c>
      <c r="X39" s="21">
        <v>36124</v>
      </c>
      <c r="Y39" s="21">
        <v>4989</v>
      </c>
      <c r="Z39" s="21">
        <v>675</v>
      </c>
      <c r="AA39" s="21">
        <v>40438</v>
      </c>
      <c r="AB39" s="21">
        <v>2405</v>
      </c>
      <c r="AC39" s="21">
        <v>168109</v>
      </c>
    </row>
    <row r="40" spans="1:29" x14ac:dyDescent="0.3">
      <c r="A40" s="20" t="s">
        <v>317</v>
      </c>
      <c r="B40" s="21">
        <v>1002</v>
      </c>
      <c r="C40" s="21">
        <v>775</v>
      </c>
      <c r="D40" s="21">
        <v>854</v>
      </c>
      <c r="E40" s="21">
        <v>55</v>
      </c>
      <c r="F40" s="21">
        <v>2686</v>
      </c>
      <c r="G40" s="21">
        <v>506</v>
      </c>
      <c r="H40" s="21">
        <v>3192</v>
      </c>
      <c r="I40" s="21">
        <v>1462</v>
      </c>
      <c r="J40" s="21">
        <v>211</v>
      </c>
      <c r="K40" s="21">
        <v>529</v>
      </c>
      <c r="L40" s="21">
        <v>2201</v>
      </c>
      <c r="M40" s="21">
        <v>2708</v>
      </c>
      <c r="N40" s="21">
        <v>786</v>
      </c>
      <c r="O40" s="21">
        <v>53</v>
      </c>
      <c r="P40" s="21">
        <v>225</v>
      </c>
      <c r="Q40" s="21">
        <v>18</v>
      </c>
      <c r="R40" s="21">
        <v>138</v>
      </c>
      <c r="S40" s="21">
        <v>984</v>
      </c>
      <c r="T40" s="21">
        <v>2106</v>
      </c>
      <c r="U40" s="21">
        <v>372</v>
      </c>
      <c r="V40" s="21">
        <v>691</v>
      </c>
      <c r="W40" s="21">
        <v>5373</v>
      </c>
      <c r="X40" s="21">
        <v>10767</v>
      </c>
      <c r="Y40" s="21">
        <v>1487</v>
      </c>
      <c r="Z40" s="21">
        <v>201</v>
      </c>
      <c r="AA40" s="21">
        <v>12053</v>
      </c>
      <c r="AB40" s="21">
        <v>1140</v>
      </c>
      <c r="AC40" s="21">
        <v>105701</v>
      </c>
    </row>
    <row r="41" spans="1:29" s="2" customFormat="1" x14ac:dyDescent="0.3">
      <c r="A41" s="23" t="s">
        <v>402</v>
      </c>
      <c r="B41" s="24">
        <v>14807</v>
      </c>
      <c r="C41" s="24">
        <v>4921</v>
      </c>
      <c r="D41" s="24">
        <v>7750</v>
      </c>
      <c r="E41" s="24">
        <v>518</v>
      </c>
      <c r="F41" s="24">
        <v>27996</v>
      </c>
      <c r="G41" s="24">
        <v>9677</v>
      </c>
      <c r="H41" s="24">
        <v>37674</v>
      </c>
      <c r="I41" s="24">
        <v>34493</v>
      </c>
      <c r="J41" s="24">
        <v>4966</v>
      </c>
      <c r="K41" s="24">
        <v>12473</v>
      </c>
      <c r="L41" s="24">
        <v>51931</v>
      </c>
      <c r="M41" s="24">
        <v>61610</v>
      </c>
      <c r="N41" s="24">
        <v>18549</v>
      </c>
      <c r="O41" s="24">
        <v>1253</v>
      </c>
      <c r="P41" s="24">
        <v>5316</v>
      </c>
      <c r="Q41" s="24">
        <v>416</v>
      </c>
      <c r="R41" s="24">
        <v>3262</v>
      </c>
      <c r="S41" s="24">
        <v>23214</v>
      </c>
      <c r="T41" s="24">
        <v>49678</v>
      </c>
      <c r="U41" s="24">
        <v>8777</v>
      </c>
      <c r="V41" s="24">
        <v>16298</v>
      </c>
      <c r="W41" s="24">
        <v>126766</v>
      </c>
      <c r="X41" s="24">
        <v>216372</v>
      </c>
      <c r="Y41" s="24">
        <v>29883</v>
      </c>
      <c r="Z41" s="24">
        <v>4044</v>
      </c>
      <c r="AA41" s="24">
        <v>242211</v>
      </c>
      <c r="AB41" s="24">
        <v>12923</v>
      </c>
      <c r="AC41" s="24">
        <f>AVERAGE(AC35:AC40)</f>
        <v>160008.16666666666</v>
      </c>
    </row>
    <row r="42" spans="1:29" s="2" customFormat="1" x14ac:dyDescent="0.3">
      <c r="A42" s="25" t="s">
        <v>406</v>
      </c>
      <c r="B42" s="26">
        <v>181748</v>
      </c>
      <c r="C42" s="26">
        <v>76978</v>
      </c>
      <c r="D42" s="26">
        <v>40698</v>
      </c>
      <c r="E42" s="26">
        <v>6302</v>
      </c>
      <c r="F42" s="26">
        <v>305730</v>
      </c>
      <c r="G42" s="26">
        <v>58521</v>
      </c>
      <c r="H42" s="26">
        <v>364250</v>
      </c>
      <c r="I42" s="26">
        <v>379846</v>
      </c>
      <c r="J42" s="26">
        <v>54689</v>
      </c>
      <c r="K42" s="26">
        <v>137361</v>
      </c>
      <c r="L42" s="26">
        <v>571898</v>
      </c>
      <c r="M42" s="26">
        <v>630420</v>
      </c>
      <c r="N42" s="26">
        <v>204277</v>
      </c>
      <c r="O42" s="26">
        <v>13801</v>
      </c>
      <c r="P42" s="26">
        <v>58539</v>
      </c>
      <c r="Q42" s="26">
        <v>4581</v>
      </c>
      <c r="R42" s="26">
        <v>35924</v>
      </c>
      <c r="S42" s="26">
        <v>255649</v>
      </c>
      <c r="T42" s="26">
        <v>547078</v>
      </c>
      <c r="U42" s="26">
        <v>96666</v>
      </c>
      <c r="V42" s="26">
        <v>179490</v>
      </c>
      <c r="W42" s="26">
        <v>1396005</v>
      </c>
      <c r="X42" s="26">
        <v>2332150</v>
      </c>
      <c r="Y42" s="26">
        <v>322090</v>
      </c>
      <c r="Z42" s="26">
        <v>43591</v>
      </c>
      <c r="AA42" s="26">
        <v>2610652</v>
      </c>
      <c r="AB42" s="26">
        <v>123961</v>
      </c>
      <c r="AC42" s="26">
        <f>AVERAGE(AC41,AC34,AC28,AC13,AC7,AC19)</f>
        <v>174079.70277777777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42"/>
  <sheetViews>
    <sheetView tabSelected="1" topLeftCell="B1" zoomScale="122" zoomScaleNormal="122" workbookViewId="0">
      <selection activeCell="J12" sqref="J12"/>
    </sheetView>
  </sheetViews>
  <sheetFormatPr defaultRowHeight="14.4" x14ac:dyDescent="0.3"/>
  <cols>
    <col min="1" max="1" width="22.33203125" bestFit="1" customWidth="1"/>
    <col min="2" max="2" width="7.21875" bestFit="1" customWidth="1"/>
    <col min="3" max="3" width="7.88671875" customWidth="1"/>
    <col min="4" max="4" width="13.88671875" bestFit="1" customWidth="1"/>
    <col min="5" max="5" width="15.33203125" bestFit="1" customWidth="1"/>
    <col min="6" max="6" width="19.33203125" bestFit="1" customWidth="1"/>
    <col min="7" max="7" width="13.109375" bestFit="1" customWidth="1"/>
    <col min="8" max="8" width="9.44140625" bestFit="1" customWidth="1"/>
    <col min="9" max="9" width="9.77734375" bestFit="1" customWidth="1"/>
    <col min="10" max="10" width="33.6640625" bestFit="1" customWidth="1"/>
    <col min="11" max="11" width="8.6640625" bestFit="1" customWidth="1"/>
    <col min="12" max="12" width="11.33203125" bestFit="1" customWidth="1"/>
    <col min="13" max="13" width="7" bestFit="1" customWidth="1"/>
    <col min="14" max="14" width="22.88671875" bestFit="1" customWidth="1"/>
    <col min="15" max="15" width="6.21875" bestFit="1" customWidth="1"/>
    <col min="16" max="16" width="25.6640625" bestFit="1" customWidth="1"/>
    <col min="17" max="17" width="5.44140625" bestFit="1" customWidth="1"/>
    <col min="18" max="18" width="23.5546875" bestFit="1" customWidth="1"/>
    <col min="19" max="19" width="11.5546875" bestFit="1" customWidth="1"/>
    <col min="20" max="20" width="29.21875" bestFit="1" customWidth="1"/>
    <col min="21" max="21" width="20.6640625" bestFit="1" customWidth="1"/>
    <col min="22" max="22" width="9.5546875" bestFit="1" customWidth="1"/>
    <col min="23" max="23" width="15.5546875" bestFit="1" customWidth="1"/>
    <col min="24" max="24" width="8" bestFit="1" customWidth="1"/>
    <col min="25" max="25" width="11.88671875" bestFit="1" customWidth="1"/>
    <col min="26" max="26" width="17.44140625" bestFit="1" customWidth="1"/>
    <col min="27" max="27" width="8" bestFit="1" customWidth="1"/>
    <col min="28" max="28" width="10.77734375" bestFit="1" customWidth="1"/>
    <col min="29" max="29" width="23.5546875" bestFit="1" customWidth="1"/>
  </cols>
  <sheetData>
    <row r="1" spans="1:29" x14ac:dyDescent="0.3">
      <c r="A1" s="37" t="s">
        <v>0</v>
      </c>
      <c r="B1" s="37" t="s">
        <v>1</v>
      </c>
      <c r="C1" s="37" t="s">
        <v>2</v>
      </c>
      <c r="D1" s="37" t="s">
        <v>382</v>
      </c>
      <c r="E1" s="37" t="s">
        <v>383</v>
      </c>
      <c r="F1" s="37" t="s">
        <v>384</v>
      </c>
      <c r="G1" s="37" t="s">
        <v>385</v>
      </c>
      <c r="H1" s="37" t="s">
        <v>386</v>
      </c>
      <c r="I1" s="37" t="s">
        <v>3</v>
      </c>
      <c r="J1" s="37" t="s">
        <v>387</v>
      </c>
      <c r="K1" s="37" t="s">
        <v>4</v>
      </c>
      <c r="L1" s="37" t="s">
        <v>388</v>
      </c>
      <c r="M1" s="37" t="s">
        <v>389</v>
      </c>
      <c r="N1" s="37" t="s">
        <v>410</v>
      </c>
      <c r="O1" s="38" t="s">
        <v>37</v>
      </c>
      <c r="P1" s="39" t="s">
        <v>411</v>
      </c>
      <c r="Q1" s="37" t="s">
        <v>38</v>
      </c>
      <c r="R1" s="37" t="s">
        <v>390</v>
      </c>
      <c r="S1" s="37" t="s">
        <v>391</v>
      </c>
      <c r="T1" s="37" t="s">
        <v>392</v>
      </c>
      <c r="U1" s="38" t="s">
        <v>393</v>
      </c>
      <c r="V1" s="37" t="s">
        <v>394</v>
      </c>
      <c r="W1" s="37" t="s">
        <v>395</v>
      </c>
      <c r="X1" s="37" t="s">
        <v>396</v>
      </c>
      <c r="Y1" s="39" t="s">
        <v>397</v>
      </c>
      <c r="Z1" s="37" t="s">
        <v>398</v>
      </c>
      <c r="AA1" s="37" t="s">
        <v>399</v>
      </c>
      <c r="AB1" s="37" t="s">
        <v>400</v>
      </c>
      <c r="AC1" s="37" t="s">
        <v>401</v>
      </c>
    </row>
    <row r="2" spans="1:29" x14ac:dyDescent="0.3">
      <c r="A2" s="4" t="s">
        <v>409</v>
      </c>
      <c r="B2" s="5">
        <v>0</v>
      </c>
      <c r="C2" s="5">
        <v>338</v>
      </c>
      <c r="D2" s="5">
        <v>50</v>
      </c>
      <c r="E2" s="5">
        <v>2658</v>
      </c>
      <c r="F2" s="5">
        <v>3047</v>
      </c>
      <c r="G2" s="5">
        <v>32995</v>
      </c>
      <c r="H2" s="5">
        <v>36042</v>
      </c>
      <c r="I2" s="5">
        <v>100184</v>
      </c>
      <c r="J2" s="5">
        <v>12858</v>
      </c>
      <c r="K2" s="5">
        <v>40244</v>
      </c>
      <c r="L2" s="5">
        <v>153286</v>
      </c>
      <c r="M2" s="5">
        <v>186282</v>
      </c>
      <c r="N2" s="5">
        <v>53757</v>
      </c>
      <c r="O2" s="5">
        <v>3054</v>
      </c>
      <c r="P2" s="5">
        <v>17440</v>
      </c>
      <c r="Q2" s="5">
        <v>1055</v>
      </c>
      <c r="R2" s="5">
        <v>8923</v>
      </c>
      <c r="S2" s="5">
        <v>60821</v>
      </c>
      <c r="T2" s="5">
        <v>138342</v>
      </c>
      <c r="U2" s="5">
        <v>22311</v>
      </c>
      <c r="V2" s="5">
        <v>44785</v>
      </c>
      <c r="W2" s="5">
        <v>350489</v>
      </c>
      <c r="X2" s="5">
        <v>539818</v>
      </c>
      <c r="Y2" s="5">
        <v>79220</v>
      </c>
      <c r="Z2" s="5">
        <v>11257</v>
      </c>
      <c r="AA2" s="5">
        <v>607780</v>
      </c>
      <c r="AB2" s="5">
        <v>14735</v>
      </c>
      <c r="AC2" s="5">
        <v>412467</v>
      </c>
    </row>
    <row r="3" spans="1:29" x14ac:dyDescent="0.3">
      <c r="A3" s="4" t="s">
        <v>381</v>
      </c>
      <c r="B3" s="5">
        <v>4578</v>
      </c>
      <c r="C3" s="5">
        <v>1783</v>
      </c>
      <c r="D3" s="5">
        <v>3524</v>
      </c>
      <c r="E3" s="5">
        <v>776</v>
      </c>
      <c r="F3" s="5">
        <v>10662</v>
      </c>
      <c r="G3" s="5">
        <v>506</v>
      </c>
      <c r="H3" s="5">
        <v>11168</v>
      </c>
      <c r="I3" s="5">
        <v>76958</v>
      </c>
      <c r="J3" s="5">
        <v>9877</v>
      </c>
      <c r="K3" s="5">
        <v>30915</v>
      </c>
      <c r="L3" s="5">
        <v>117750</v>
      </c>
      <c r="M3" s="5">
        <v>118256</v>
      </c>
      <c r="N3" s="5">
        <v>41295</v>
      </c>
      <c r="O3" s="5">
        <v>2346</v>
      </c>
      <c r="P3" s="5">
        <v>13397</v>
      </c>
      <c r="Q3" s="5">
        <v>810</v>
      </c>
      <c r="R3" s="5">
        <v>6854</v>
      </c>
      <c r="S3" s="5">
        <v>46721</v>
      </c>
      <c r="T3" s="5">
        <v>106271</v>
      </c>
      <c r="U3" s="5">
        <v>17139</v>
      </c>
      <c r="V3" s="5">
        <v>34402</v>
      </c>
      <c r="W3" s="5">
        <v>269236</v>
      </c>
      <c r="X3" s="5">
        <v>398154</v>
      </c>
      <c r="Y3" s="5">
        <v>58430</v>
      </c>
      <c r="Z3" s="5">
        <v>8303</v>
      </c>
      <c r="AA3" s="5">
        <v>448281</v>
      </c>
      <c r="AB3" s="5">
        <v>12764</v>
      </c>
      <c r="AC3" s="5">
        <v>351200</v>
      </c>
    </row>
    <row r="4" spans="1:29" x14ac:dyDescent="0.3">
      <c r="A4" s="4" t="s">
        <v>318</v>
      </c>
      <c r="B4" s="5">
        <v>2274</v>
      </c>
      <c r="C4" s="5">
        <v>733</v>
      </c>
      <c r="D4" s="5">
        <v>3354</v>
      </c>
      <c r="E4" s="5">
        <v>495</v>
      </c>
      <c r="F4" s="5">
        <v>6856</v>
      </c>
      <c r="G4" s="5">
        <v>7530</v>
      </c>
      <c r="H4" s="5">
        <v>14385</v>
      </c>
      <c r="I4" s="5">
        <v>11653</v>
      </c>
      <c r="J4" s="5">
        <v>1496</v>
      </c>
      <c r="K4" s="5">
        <v>4681</v>
      </c>
      <c r="L4" s="5">
        <v>17830</v>
      </c>
      <c r="M4" s="5">
        <v>25360</v>
      </c>
      <c r="N4" s="5">
        <v>6253</v>
      </c>
      <c r="O4" s="5">
        <v>355</v>
      </c>
      <c r="P4" s="5">
        <v>2029</v>
      </c>
      <c r="Q4" s="5">
        <v>123</v>
      </c>
      <c r="R4" s="5">
        <v>1038</v>
      </c>
      <c r="S4" s="5">
        <v>7075</v>
      </c>
      <c r="T4" s="5">
        <v>16092</v>
      </c>
      <c r="U4" s="5">
        <v>2595</v>
      </c>
      <c r="V4" s="5">
        <v>5209</v>
      </c>
      <c r="W4" s="5">
        <v>40768</v>
      </c>
      <c r="X4" s="5">
        <v>72984</v>
      </c>
      <c r="Y4" s="5">
        <v>10711</v>
      </c>
      <c r="Z4" s="5">
        <v>1522</v>
      </c>
      <c r="AA4" s="5">
        <v>82173</v>
      </c>
      <c r="AB4" s="5">
        <v>2901</v>
      </c>
      <c r="AC4" s="5">
        <v>283229</v>
      </c>
    </row>
    <row r="5" spans="1:29" x14ac:dyDescent="0.3">
      <c r="A5" s="4" t="s">
        <v>319</v>
      </c>
      <c r="B5" s="5">
        <v>5493</v>
      </c>
      <c r="C5" s="5">
        <v>477</v>
      </c>
      <c r="D5" s="5">
        <v>1531</v>
      </c>
      <c r="E5" s="5">
        <v>1005</v>
      </c>
      <c r="F5" s="5">
        <v>8506</v>
      </c>
      <c r="G5" s="5">
        <v>160</v>
      </c>
      <c r="H5" s="5">
        <v>8666</v>
      </c>
      <c r="I5" s="5">
        <v>5101</v>
      </c>
      <c r="J5" s="5">
        <v>655</v>
      </c>
      <c r="K5" s="5">
        <v>2049</v>
      </c>
      <c r="L5" s="5">
        <v>7804</v>
      </c>
      <c r="M5" s="5">
        <v>7964</v>
      </c>
      <c r="N5" s="5">
        <v>2737</v>
      </c>
      <c r="O5" s="5">
        <v>156</v>
      </c>
      <c r="P5" s="5">
        <v>888</v>
      </c>
      <c r="Q5" s="5">
        <v>54</v>
      </c>
      <c r="R5" s="5">
        <v>454</v>
      </c>
      <c r="S5" s="5">
        <v>3097</v>
      </c>
      <c r="T5" s="5">
        <v>7043</v>
      </c>
      <c r="U5" s="5">
        <v>1136</v>
      </c>
      <c r="V5" s="5">
        <v>2280</v>
      </c>
      <c r="W5" s="5">
        <v>17844</v>
      </c>
      <c r="X5" s="5">
        <v>34314</v>
      </c>
      <c r="Y5" s="5">
        <v>5036</v>
      </c>
      <c r="Z5" s="5">
        <v>716</v>
      </c>
      <c r="AA5" s="5">
        <v>38634</v>
      </c>
      <c r="AB5" s="5">
        <v>1735</v>
      </c>
      <c r="AC5" s="5">
        <v>222627</v>
      </c>
    </row>
    <row r="6" spans="1:29" x14ac:dyDescent="0.3">
      <c r="A6" s="4" t="s">
        <v>320</v>
      </c>
      <c r="B6" s="5">
        <v>3784</v>
      </c>
      <c r="C6" s="5">
        <v>461</v>
      </c>
      <c r="D6" s="5">
        <v>3627</v>
      </c>
      <c r="E6" s="5">
        <v>125</v>
      </c>
      <c r="F6" s="5">
        <v>7997</v>
      </c>
      <c r="G6" s="5">
        <v>532</v>
      </c>
      <c r="H6" s="5">
        <v>8529</v>
      </c>
      <c r="I6" s="5">
        <v>2331</v>
      </c>
      <c r="J6" s="5">
        <v>299</v>
      </c>
      <c r="K6" s="5">
        <v>936</v>
      </c>
      <c r="L6" s="5">
        <v>3567</v>
      </c>
      <c r="M6" s="5">
        <v>4099</v>
      </c>
      <c r="N6" s="5">
        <v>1251</v>
      </c>
      <c r="O6" s="5">
        <v>71</v>
      </c>
      <c r="P6" s="5">
        <v>406</v>
      </c>
      <c r="Q6" s="5">
        <v>25</v>
      </c>
      <c r="R6" s="5">
        <v>208</v>
      </c>
      <c r="S6" s="5">
        <v>1415</v>
      </c>
      <c r="T6" s="5">
        <v>3219</v>
      </c>
      <c r="U6" s="5">
        <v>519</v>
      </c>
      <c r="V6" s="5">
        <v>1042</v>
      </c>
      <c r="W6" s="5">
        <v>8155</v>
      </c>
      <c r="X6" s="5">
        <v>20251</v>
      </c>
      <c r="Y6" s="5">
        <v>2972</v>
      </c>
      <c r="Z6" s="5">
        <v>422</v>
      </c>
      <c r="AA6" s="5">
        <v>22801</v>
      </c>
      <c r="AB6" s="5">
        <v>909</v>
      </c>
      <c r="AC6" s="5">
        <v>250900</v>
      </c>
    </row>
    <row r="7" spans="1:29" s="2" customFormat="1" x14ac:dyDescent="0.3">
      <c r="A7" s="18" t="s">
        <v>405</v>
      </c>
      <c r="B7" s="19">
        <v>16129</v>
      </c>
      <c r="C7" s="19">
        <v>3792</v>
      </c>
      <c r="D7" s="19">
        <v>12086</v>
      </c>
      <c r="E7" s="19">
        <v>5059</v>
      </c>
      <c r="F7" s="19">
        <v>37068</v>
      </c>
      <c r="G7" s="19">
        <v>41723</v>
      </c>
      <c r="H7" s="19">
        <v>78790</v>
      </c>
      <c r="I7" s="19">
        <v>196227</v>
      </c>
      <c r="J7" s="19">
        <v>25185</v>
      </c>
      <c r="K7" s="19">
        <v>78825</v>
      </c>
      <c r="L7" s="19">
        <v>300237</v>
      </c>
      <c r="M7" s="19">
        <v>341961</v>
      </c>
      <c r="N7" s="19">
        <v>105293</v>
      </c>
      <c r="O7" s="19">
        <v>5982</v>
      </c>
      <c r="P7" s="19">
        <v>34160</v>
      </c>
      <c r="Q7" s="19">
        <v>2067</v>
      </c>
      <c r="R7" s="19">
        <v>17477</v>
      </c>
      <c r="S7" s="19">
        <v>119129</v>
      </c>
      <c r="T7" s="19">
        <v>270967</v>
      </c>
      <c r="U7" s="19">
        <v>43700</v>
      </c>
      <c r="V7" s="19">
        <v>87718</v>
      </c>
      <c r="W7" s="19">
        <v>686492</v>
      </c>
      <c r="X7" s="19">
        <v>1065521</v>
      </c>
      <c r="Y7" s="19">
        <v>156369</v>
      </c>
      <c r="Z7" s="19">
        <v>22220</v>
      </c>
      <c r="AA7" s="19">
        <v>1199669</v>
      </c>
      <c r="AB7" s="19">
        <v>33044</v>
      </c>
      <c r="AC7" s="19">
        <f>AVERAGE(AC2:AC6)</f>
        <v>304084.59999999998</v>
      </c>
    </row>
    <row r="8" spans="1:29" x14ac:dyDescent="0.3">
      <c r="A8" s="27" t="s">
        <v>321</v>
      </c>
      <c r="B8" s="28">
        <v>19678</v>
      </c>
      <c r="C8" s="28">
        <v>5091</v>
      </c>
      <c r="D8" s="28">
        <v>803</v>
      </c>
      <c r="E8" s="28">
        <v>49</v>
      </c>
      <c r="F8" s="28">
        <v>25621</v>
      </c>
      <c r="G8" s="28">
        <v>81</v>
      </c>
      <c r="H8" s="28">
        <v>25702</v>
      </c>
      <c r="I8" s="28">
        <v>22255</v>
      </c>
      <c r="J8" s="28">
        <v>2856</v>
      </c>
      <c r="K8" s="28">
        <v>8940</v>
      </c>
      <c r="L8" s="28">
        <v>34052</v>
      </c>
      <c r="M8" s="28">
        <v>34133</v>
      </c>
      <c r="N8" s="28">
        <v>11942</v>
      </c>
      <c r="O8" s="28">
        <v>679</v>
      </c>
      <c r="P8" s="28">
        <v>3874</v>
      </c>
      <c r="Q8" s="28">
        <v>234</v>
      </c>
      <c r="R8" s="28">
        <v>1982</v>
      </c>
      <c r="S8" s="28">
        <v>13511</v>
      </c>
      <c r="T8" s="28">
        <v>30732</v>
      </c>
      <c r="U8" s="28">
        <v>4956</v>
      </c>
      <c r="V8" s="28">
        <v>9949</v>
      </c>
      <c r="W8" s="28">
        <v>77860</v>
      </c>
      <c r="X8" s="28">
        <v>137613</v>
      </c>
      <c r="Y8" s="28">
        <v>20195</v>
      </c>
      <c r="Z8" s="28">
        <v>2870</v>
      </c>
      <c r="AA8" s="28">
        <v>154939</v>
      </c>
      <c r="AB8" s="28">
        <v>6772</v>
      </c>
      <c r="AC8" s="28">
        <v>228792</v>
      </c>
    </row>
    <row r="9" spans="1:29" x14ac:dyDescent="0.3">
      <c r="A9" s="27" t="s">
        <v>322</v>
      </c>
      <c r="B9" s="28">
        <v>5324</v>
      </c>
      <c r="C9" s="28">
        <v>1650</v>
      </c>
      <c r="D9" s="28">
        <v>381</v>
      </c>
      <c r="E9" s="28">
        <v>26</v>
      </c>
      <c r="F9" s="28">
        <v>7382</v>
      </c>
      <c r="G9" s="28">
        <v>11</v>
      </c>
      <c r="H9" s="28">
        <v>7392</v>
      </c>
      <c r="I9" s="28">
        <v>5449</v>
      </c>
      <c r="J9" s="28">
        <v>699</v>
      </c>
      <c r="K9" s="28">
        <v>2189</v>
      </c>
      <c r="L9" s="28">
        <v>8337</v>
      </c>
      <c r="M9" s="28">
        <v>8348</v>
      </c>
      <c r="N9" s="28">
        <v>2924</v>
      </c>
      <c r="O9" s="28">
        <v>166</v>
      </c>
      <c r="P9" s="28">
        <v>949</v>
      </c>
      <c r="Q9" s="28">
        <v>57</v>
      </c>
      <c r="R9" s="28">
        <v>485</v>
      </c>
      <c r="S9" s="28">
        <v>3308</v>
      </c>
      <c r="T9" s="28">
        <v>7524</v>
      </c>
      <c r="U9" s="28">
        <v>1213</v>
      </c>
      <c r="V9" s="28">
        <v>2436</v>
      </c>
      <c r="W9" s="28">
        <v>19063</v>
      </c>
      <c r="X9" s="28">
        <v>34792</v>
      </c>
      <c r="Y9" s="28">
        <v>5106</v>
      </c>
      <c r="Z9" s="28">
        <v>726</v>
      </c>
      <c r="AA9" s="28">
        <v>39172</v>
      </c>
      <c r="AB9" s="28">
        <v>2235</v>
      </c>
      <c r="AC9" s="28">
        <v>175298</v>
      </c>
    </row>
    <row r="10" spans="1:29" x14ac:dyDescent="0.3">
      <c r="A10" s="27" t="s">
        <v>323</v>
      </c>
      <c r="B10" s="28">
        <v>3244</v>
      </c>
      <c r="C10" s="28">
        <v>1199</v>
      </c>
      <c r="D10" s="28">
        <v>201</v>
      </c>
      <c r="E10" s="28">
        <v>67</v>
      </c>
      <c r="F10" s="28">
        <v>4711</v>
      </c>
      <c r="G10" s="28">
        <v>80</v>
      </c>
      <c r="H10" s="28">
        <v>4792</v>
      </c>
      <c r="I10" s="28">
        <v>2742</v>
      </c>
      <c r="J10" s="28">
        <v>352</v>
      </c>
      <c r="K10" s="28">
        <v>1101</v>
      </c>
      <c r="L10" s="28">
        <v>4195</v>
      </c>
      <c r="M10" s="28">
        <v>4276</v>
      </c>
      <c r="N10" s="28">
        <v>1471</v>
      </c>
      <c r="O10" s="28">
        <v>84</v>
      </c>
      <c r="P10" s="28">
        <v>477</v>
      </c>
      <c r="Q10" s="28">
        <v>29</v>
      </c>
      <c r="R10" s="28">
        <v>244</v>
      </c>
      <c r="S10" s="28">
        <v>1665</v>
      </c>
      <c r="T10" s="28">
        <v>3786</v>
      </c>
      <c r="U10" s="28">
        <v>611</v>
      </c>
      <c r="V10" s="28">
        <v>1226</v>
      </c>
      <c r="W10" s="28">
        <v>9593</v>
      </c>
      <c r="X10" s="28">
        <v>18580</v>
      </c>
      <c r="Y10" s="28">
        <v>2727</v>
      </c>
      <c r="Z10" s="28">
        <v>387</v>
      </c>
      <c r="AA10" s="28">
        <v>20919</v>
      </c>
      <c r="AB10" s="28">
        <v>1772</v>
      </c>
      <c r="AC10" s="28">
        <v>118060</v>
      </c>
    </row>
    <row r="11" spans="1:29" x14ac:dyDescent="0.3">
      <c r="A11" s="27" t="s">
        <v>324</v>
      </c>
      <c r="B11" s="28">
        <v>9203</v>
      </c>
      <c r="C11" s="28">
        <v>2710</v>
      </c>
      <c r="D11" s="28">
        <v>762</v>
      </c>
      <c r="E11" s="28">
        <v>11</v>
      </c>
      <c r="F11" s="28">
        <v>12685</v>
      </c>
      <c r="G11" s="28">
        <v>593</v>
      </c>
      <c r="H11" s="28">
        <v>13279</v>
      </c>
      <c r="I11" s="28">
        <v>10727</v>
      </c>
      <c r="J11" s="28">
        <v>1377</v>
      </c>
      <c r="K11" s="28">
        <v>4309</v>
      </c>
      <c r="L11" s="28">
        <v>16412</v>
      </c>
      <c r="M11" s="28">
        <v>17006</v>
      </c>
      <c r="N11" s="28">
        <v>5756</v>
      </c>
      <c r="O11" s="28">
        <v>327</v>
      </c>
      <c r="P11" s="28">
        <v>1867</v>
      </c>
      <c r="Q11" s="28">
        <v>113</v>
      </c>
      <c r="R11" s="28">
        <v>955</v>
      </c>
      <c r="S11" s="28">
        <v>6512</v>
      </c>
      <c r="T11" s="28">
        <v>14812</v>
      </c>
      <c r="U11" s="28">
        <v>2389</v>
      </c>
      <c r="V11" s="28">
        <v>4795</v>
      </c>
      <c r="W11" s="28">
        <v>37527</v>
      </c>
      <c r="X11" s="28">
        <v>67218</v>
      </c>
      <c r="Y11" s="28">
        <v>9864</v>
      </c>
      <c r="Z11" s="28">
        <v>1402</v>
      </c>
      <c r="AA11" s="28">
        <v>75680</v>
      </c>
      <c r="AB11" s="28">
        <v>4631</v>
      </c>
      <c r="AC11" s="28">
        <v>163438</v>
      </c>
    </row>
    <row r="12" spans="1:29" x14ac:dyDescent="0.3">
      <c r="A12" s="27" t="s">
        <v>380</v>
      </c>
      <c r="B12" s="28">
        <v>20302</v>
      </c>
      <c r="C12" s="28">
        <v>9233</v>
      </c>
      <c r="D12" s="28">
        <v>1128</v>
      </c>
      <c r="E12" s="28">
        <v>28</v>
      </c>
      <c r="F12" s="28">
        <v>30691</v>
      </c>
      <c r="G12" s="28">
        <v>303</v>
      </c>
      <c r="H12" s="28">
        <v>30994</v>
      </c>
      <c r="I12" s="28">
        <v>12886</v>
      </c>
      <c r="J12" s="28">
        <v>1654</v>
      </c>
      <c r="K12" s="28">
        <v>5176</v>
      </c>
      <c r="L12" s="28">
        <v>19717</v>
      </c>
      <c r="M12" s="28">
        <v>20020</v>
      </c>
      <c r="N12" s="28">
        <v>6915</v>
      </c>
      <c r="O12" s="28">
        <v>393</v>
      </c>
      <c r="P12" s="28">
        <v>2243</v>
      </c>
      <c r="Q12" s="28">
        <v>136</v>
      </c>
      <c r="R12" s="28">
        <v>1148</v>
      </c>
      <c r="S12" s="28">
        <v>7823</v>
      </c>
      <c r="T12" s="28">
        <v>17794</v>
      </c>
      <c r="U12" s="28">
        <v>2870</v>
      </c>
      <c r="V12" s="28">
        <v>5760</v>
      </c>
      <c r="W12" s="28">
        <v>45082</v>
      </c>
      <c r="X12" s="28">
        <v>95792</v>
      </c>
      <c r="Y12" s="28">
        <v>14058</v>
      </c>
      <c r="Z12" s="28">
        <v>1998</v>
      </c>
      <c r="AA12" s="28">
        <v>107852</v>
      </c>
      <c r="AB12" s="28">
        <v>4904</v>
      </c>
      <c r="AC12" s="28">
        <v>219929</v>
      </c>
    </row>
    <row r="13" spans="1:29" s="2" customFormat="1" x14ac:dyDescent="0.3">
      <c r="A13" s="7" t="s">
        <v>408</v>
      </c>
      <c r="B13" s="8">
        <v>57751</v>
      </c>
      <c r="C13" s="8">
        <v>19883</v>
      </c>
      <c r="D13" s="8">
        <v>3275</v>
      </c>
      <c r="E13" s="8">
        <v>181</v>
      </c>
      <c r="F13" s="8">
        <v>81090</v>
      </c>
      <c r="G13" s="8">
        <v>1068</v>
      </c>
      <c r="H13" s="8">
        <v>82159</v>
      </c>
      <c r="I13" s="8">
        <v>54059</v>
      </c>
      <c r="J13" s="8">
        <v>6938</v>
      </c>
      <c r="K13" s="8">
        <v>21715</v>
      </c>
      <c r="L13" s="8">
        <v>82713</v>
      </c>
      <c r="M13" s="8">
        <v>83783</v>
      </c>
      <c r="N13" s="8">
        <v>29008</v>
      </c>
      <c r="O13" s="8">
        <v>1649</v>
      </c>
      <c r="P13" s="8">
        <v>9410</v>
      </c>
      <c r="Q13" s="8">
        <v>569</v>
      </c>
      <c r="R13" s="8">
        <v>4814</v>
      </c>
      <c r="S13" s="8">
        <v>32819</v>
      </c>
      <c r="T13" s="8">
        <v>74648</v>
      </c>
      <c r="U13" s="8">
        <v>12039</v>
      </c>
      <c r="V13" s="8">
        <v>24166</v>
      </c>
      <c r="W13" s="8">
        <v>189125</v>
      </c>
      <c r="X13" s="8">
        <v>353995</v>
      </c>
      <c r="Y13" s="8">
        <v>51950</v>
      </c>
      <c r="Z13" s="8">
        <v>7383</v>
      </c>
      <c r="AA13" s="8">
        <v>398562</v>
      </c>
      <c r="AB13" s="8">
        <v>20314</v>
      </c>
      <c r="AC13" s="8">
        <f>AVERAGE(AC8:AC12)</f>
        <v>181103.4</v>
      </c>
    </row>
    <row r="14" spans="1:29" x14ac:dyDescent="0.3">
      <c r="A14" s="9" t="s">
        <v>325</v>
      </c>
      <c r="B14" s="10">
        <v>14417</v>
      </c>
      <c r="C14" s="10">
        <v>10276</v>
      </c>
      <c r="D14" s="10">
        <v>2820</v>
      </c>
      <c r="E14" s="10">
        <v>99</v>
      </c>
      <c r="F14" s="10">
        <v>27611</v>
      </c>
      <c r="G14" s="10">
        <v>103</v>
      </c>
      <c r="H14" s="10">
        <v>27714</v>
      </c>
      <c r="I14" s="10">
        <v>58107</v>
      </c>
      <c r="J14" s="10">
        <v>7458</v>
      </c>
      <c r="K14" s="10">
        <v>23342</v>
      </c>
      <c r="L14" s="10">
        <v>88906</v>
      </c>
      <c r="M14" s="10">
        <v>89010</v>
      </c>
      <c r="N14" s="10">
        <v>31179</v>
      </c>
      <c r="O14" s="10">
        <v>1772</v>
      </c>
      <c r="P14" s="10">
        <v>10115</v>
      </c>
      <c r="Q14" s="10">
        <v>612</v>
      </c>
      <c r="R14" s="10">
        <v>5175</v>
      </c>
      <c r="S14" s="10">
        <v>35277</v>
      </c>
      <c r="T14" s="10">
        <v>80239</v>
      </c>
      <c r="U14" s="10">
        <v>12941</v>
      </c>
      <c r="V14" s="10">
        <v>25975</v>
      </c>
      <c r="W14" s="10">
        <v>203285</v>
      </c>
      <c r="X14" s="10">
        <v>319906</v>
      </c>
      <c r="Y14" s="10">
        <v>46947</v>
      </c>
      <c r="Z14" s="10">
        <v>6671</v>
      </c>
      <c r="AA14" s="10">
        <v>360181</v>
      </c>
      <c r="AB14" s="10">
        <v>10684</v>
      </c>
      <c r="AC14" s="10">
        <v>337110</v>
      </c>
    </row>
    <row r="15" spans="1:29" x14ac:dyDescent="0.3">
      <c r="A15" s="9" t="s">
        <v>326</v>
      </c>
      <c r="B15" s="10">
        <v>7822</v>
      </c>
      <c r="C15" s="10">
        <v>5271</v>
      </c>
      <c r="D15" s="10">
        <v>1452</v>
      </c>
      <c r="E15" s="10">
        <v>44</v>
      </c>
      <c r="F15" s="10">
        <v>14589</v>
      </c>
      <c r="G15" s="10">
        <v>165</v>
      </c>
      <c r="H15" s="10">
        <v>14755</v>
      </c>
      <c r="I15" s="10">
        <v>9506</v>
      </c>
      <c r="J15" s="10">
        <v>1220</v>
      </c>
      <c r="K15" s="10">
        <v>3818</v>
      </c>
      <c r="L15" s="10">
        <v>14544</v>
      </c>
      <c r="M15" s="10">
        <v>14710</v>
      </c>
      <c r="N15" s="10">
        <v>5101</v>
      </c>
      <c r="O15" s="10">
        <v>290</v>
      </c>
      <c r="P15" s="10">
        <v>1655</v>
      </c>
      <c r="Q15" s="10">
        <v>100</v>
      </c>
      <c r="R15" s="10">
        <v>847</v>
      </c>
      <c r="S15" s="10">
        <v>5771</v>
      </c>
      <c r="T15" s="10">
        <v>13126</v>
      </c>
      <c r="U15" s="10">
        <v>2117</v>
      </c>
      <c r="V15" s="10">
        <v>4249</v>
      </c>
      <c r="W15" s="10">
        <v>33255</v>
      </c>
      <c r="X15" s="10">
        <v>62554</v>
      </c>
      <c r="Y15" s="10">
        <v>9180</v>
      </c>
      <c r="Z15" s="10">
        <v>1304</v>
      </c>
      <c r="AA15" s="10">
        <v>70429</v>
      </c>
      <c r="AB15" s="10">
        <v>3238</v>
      </c>
      <c r="AC15" s="10">
        <v>217512</v>
      </c>
    </row>
    <row r="16" spans="1:29" x14ac:dyDescent="0.3">
      <c r="A16" s="9" t="s">
        <v>327</v>
      </c>
      <c r="B16" s="10">
        <v>8252</v>
      </c>
      <c r="C16" s="10">
        <v>6854</v>
      </c>
      <c r="D16" s="10">
        <v>2662</v>
      </c>
      <c r="E16" s="10">
        <v>25</v>
      </c>
      <c r="F16" s="10">
        <v>17792</v>
      </c>
      <c r="G16" s="10">
        <v>27</v>
      </c>
      <c r="H16" s="10">
        <v>17819</v>
      </c>
      <c r="I16" s="10">
        <v>9035</v>
      </c>
      <c r="J16" s="10">
        <v>1160</v>
      </c>
      <c r="K16" s="10">
        <v>3629</v>
      </c>
      <c r="L16" s="10">
        <v>13824</v>
      </c>
      <c r="M16" s="10">
        <v>13852</v>
      </c>
      <c r="N16" s="10">
        <v>4848</v>
      </c>
      <c r="O16" s="10">
        <v>275</v>
      </c>
      <c r="P16" s="10">
        <v>1573</v>
      </c>
      <c r="Q16" s="10">
        <v>95</v>
      </c>
      <c r="R16" s="10">
        <v>805</v>
      </c>
      <c r="S16" s="10">
        <v>5485</v>
      </c>
      <c r="T16" s="10">
        <v>12477</v>
      </c>
      <c r="U16" s="10">
        <v>2012</v>
      </c>
      <c r="V16" s="10">
        <v>4039</v>
      </c>
      <c r="W16" s="10">
        <v>31609</v>
      </c>
      <c r="X16" s="10">
        <v>63253</v>
      </c>
      <c r="Y16" s="10">
        <v>9283</v>
      </c>
      <c r="Z16" s="10">
        <v>1319</v>
      </c>
      <c r="AA16" s="10">
        <v>71217</v>
      </c>
      <c r="AB16" s="10">
        <v>3066</v>
      </c>
      <c r="AC16" s="10">
        <v>232258</v>
      </c>
    </row>
    <row r="17" spans="1:29" x14ac:dyDescent="0.3">
      <c r="A17" s="9" t="s">
        <v>328</v>
      </c>
      <c r="B17" s="10">
        <v>12087</v>
      </c>
      <c r="C17" s="10">
        <v>8276</v>
      </c>
      <c r="D17" s="10">
        <v>1583</v>
      </c>
      <c r="E17" s="10">
        <v>29</v>
      </c>
      <c r="F17" s="10">
        <v>21975</v>
      </c>
      <c r="G17" s="10">
        <v>364</v>
      </c>
      <c r="H17" s="10">
        <v>22340</v>
      </c>
      <c r="I17" s="10">
        <v>14667</v>
      </c>
      <c r="J17" s="10">
        <v>1883</v>
      </c>
      <c r="K17" s="10">
        <v>5892</v>
      </c>
      <c r="L17" s="10">
        <v>22442</v>
      </c>
      <c r="M17" s="10">
        <v>22806</v>
      </c>
      <c r="N17" s="10">
        <v>7870</v>
      </c>
      <c r="O17" s="10">
        <v>447</v>
      </c>
      <c r="P17" s="10">
        <v>2553</v>
      </c>
      <c r="Q17" s="10">
        <v>154</v>
      </c>
      <c r="R17" s="10">
        <v>1306</v>
      </c>
      <c r="S17" s="10">
        <v>8905</v>
      </c>
      <c r="T17" s="10">
        <v>20254</v>
      </c>
      <c r="U17" s="10">
        <v>3267</v>
      </c>
      <c r="V17" s="10">
        <v>6557</v>
      </c>
      <c r="W17" s="10">
        <v>51314</v>
      </c>
      <c r="X17" s="10">
        <v>96095</v>
      </c>
      <c r="Y17" s="10">
        <v>14102</v>
      </c>
      <c r="Z17" s="10">
        <v>2004</v>
      </c>
      <c r="AA17" s="10">
        <v>108194</v>
      </c>
      <c r="AB17" s="10">
        <v>4730</v>
      </c>
      <c r="AC17" s="10">
        <v>228718</v>
      </c>
    </row>
    <row r="18" spans="1:29" x14ac:dyDescent="0.3">
      <c r="A18" s="9" t="s">
        <v>329</v>
      </c>
      <c r="B18" s="10">
        <v>7374</v>
      </c>
      <c r="C18" s="10">
        <v>5964</v>
      </c>
      <c r="D18" s="10">
        <v>1374</v>
      </c>
      <c r="E18" s="10">
        <v>35</v>
      </c>
      <c r="F18" s="10">
        <v>14746</v>
      </c>
      <c r="G18" s="10">
        <v>122</v>
      </c>
      <c r="H18" s="10">
        <v>14868</v>
      </c>
      <c r="I18" s="10">
        <v>16067</v>
      </c>
      <c r="J18" s="10">
        <v>2062</v>
      </c>
      <c r="K18" s="10">
        <v>6454</v>
      </c>
      <c r="L18" s="10">
        <v>24583</v>
      </c>
      <c r="M18" s="10">
        <v>24705</v>
      </c>
      <c r="N18" s="10">
        <v>8621</v>
      </c>
      <c r="O18" s="10">
        <v>490</v>
      </c>
      <c r="P18" s="10">
        <v>2797</v>
      </c>
      <c r="Q18" s="10">
        <v>169</v>
      </c>
      <c r="R18" s="10">
        <v>1431</v>
      </c>
      <c r="S18" s="10">
        <v>9754</v>
      </c>
      <c r="T18" s="10">
        <v>22186</v>
      </c>
      <c r="U18" s="10">
        <v>3578</v>
      </c>
      <c r="V18" s="10">
        <v>7182</v>
      </c>
      <c r="W18" s="10">
        <v>56209</v>
      </c>
      <c r="X18" s="10">
        <v>95660</v>
      </c>
      <c r="Y18" s="10">
        <v>14038</v>
      </c>
      <c r="Z18" s="10">
        <v>1995</v>
      </c>
      <c r="AA18" s="10">
        <v>107704</v>
      </c>
      <c r="AB18" s="10">
        <v>4243</v>
      </c>
      <c r="AC18" s="10">
        <v>253835</v>
      </c>
    </row>
    <row r="19" spans="1:29" s="2" customFormat="1" x14ac:dyDescent="0.3">
      <c r="A19" s="12" t="s">
        <v>404</v>
      </c>
      <c r="B19" s="13">
        <v>49952</v>
      </c>
      <c r="C19" s="13">
        <v>36641</v>
      </c>
      <c r="D19" s="13">
        <v>9891</v>
      </c>
      <c r="E19" s="13">
        <v>232</v>
      </c>
      <c r="F19" s="13">
        <v>96713</v>
      </c>
      <c r="G19" s="13">
        <v>781</v>
      </c>
      <c r="H19" s="13">
        <v>97496</v>
      </c>
      <c r="I19" s="13">
        <v>107382</v>
      </c>
      <c r="J19" s="13">
        <v>13783</v>
      </c>
      <c r="K19" s="13">
        <v>43135</v>
      </c>
      <c r="L19" s="13">
        <v>164299</v>
      </c>
      <c r="M19" s="13">
        <v>165083</v>
      </c>
      <c r="N19" s="13">
        <v>57619</v>
      </c>
      <c r="O19" s="13">
        <v>3274</v>
      </c>
      <c r="P19" s="13">
        <v>18693</v>
      </c>
      <c r="Q19" s="13">
        <v>1130</v>
      </c>
      <c r="R19" s="13">
        <v>9564</v>
      </c>
      <c r="S19" s="13">
        <v>65192</v>
      </c>
      <c r="T19" s="13">
        <v>148282</v>
      </c>
      <c r="U19" s="13">
        <v>23915</v>
      </c>
      <c r="V19" s="13">
        <v>48002</v>
      </c>
      <c r="W19" s="13">
        <v>375672</v>
      </c>
      <c r="X19" s="13">
        <v>637468</v>
      </c>
      <c r="Y19" s="13">
        <v>93550</v>
      </c>
      <c r="Z19" s="13">
        <v>13293</v>
      </c>
      <c r="AA19" s="13">
        <v>717725</v>
      </c>
      <c r="AB19" s="13">
        <v>25961</v>
      </c>
      <c r="AC19" s="13">
        <f>AVERAGE(AC14:AC18)</f>
        <v>253886.6</v>
      </c>
    </row>
    <row r="20" spans="1:29" x14ac:dyDescent="0.3">
      <c r="A20" s="31" t="s">
        <v>330</v>
      </c>
      <c r="B20" s="32">
        <v>6523</v>
      </c>
      <c r="C20" s="32">
        <v>3403</v>
      </c>
      <c r="D20" s="32">
        <v>1342</v>
      </c>
      <c r="E20" s="32">
        <v>30</v>
      </c>
      <c r="F20" s="32">
        <v>11299</v>
      </c>
      <c r="G20" s="32">
        <v>672</v>
      </c>
      <c r="H20" s="32">
        <v>11971</v>
      </c>
      <c r="I20" s="32">
        <v>12829</v>
      </c>
      <c r="J20" s="32">
        <v>1646</v>
      </c>
      <c r="K20" s="32">
        <v>5153</v>
      </c>
      <c r="L20" s="32">
        <v>19628</v>
      </c>
      <c r="M20" s="32">
        <v>20300</v>
      </c>
      <c r="N20" s="32">
        <v>6884</v>
      </c>
      <c r="O20" s="32">
        <v>391</v>
      </c>
      <c r="P20" s="32">
        <v>2233</v>
      </c>
      <c r="Q20" s="32">
        <v>135</v>
      </c>
      <c r="R20" s="32">
        <v>1143</v>
      </c>
      <c r="S20" s="32">
        <v>7788</v>
      </c>
      <c r="T20" s="32">
        <v>17715</v>
      </c>
      <c r="U20" s="32">
        <v>2857</v>
      </c>
      <c r="V20" s="32">
        <v>5735</v>
      </c>
      <c r="W20" s="32">
        <v>44880</v>
      </c>
      <c r="X20" s="32">
        <v>76479</v>
      </c>
      <c r="Y20" s="32">
        <v>11224</v>
      </c>
      <c r="Z20" s="32">
        <v>1595</v>
      </c>
      <c r="AA20" s="32">
        <v>86108</v>
      </c>
      <c r="AB20" s="32">
        <v>4110</v>
      </c>
      <c r="AC20" s="32">
        <v>209495</v>
      </c>
    </row>
    <row r="21" spans="1:29" x14ac:dyDescent="0.3">
      <c r="A21" s="31" t="s">
        <v>331</v>
      </c>
      <c r="B21" s="32">
        <v>6432</v>
      </c>
      <c r="C21" s="32">
        <v>1205</v>
      </c>
      <c r="D21" s="32">
        <v>1805</v>
      </c>
      <c r="E21" s="32">
        <v>52</v>
      </c>
      <c r="F21" s="32">
        <v>9493</v>
      </c>
      <c r="G21" s="32">
        <v>122</v>
      </c>
      <c r="H21" s="32">
        <v>9616</v>
      </c>
      <c r="I21" s="32">
        <v>4168</v>
      </c>
      <c r="J21" s="32">
        <v>535</v>
      </c>
      <c r="K21" s="32">
        <v>1674</v>
      </c>
      <c r="L21" s="32">
        <v>6378</v>
      </c>
      <c r="M21" s="32">
        <v>6500</v>
      </c>
      <c r="N21" s="32">
        <v>2237</v>
      </c>
      <c r="O21" s="32">
        <v>127</v>
      </c>
      <c r="P21" s="32">
        <v>726</v>
      </c>
      <c r="Q21" s="32">
        <v>44</v>
      </c>
      <c r="R21" s="32">
        <v>371</v>
      </c>
      <c r="S21" s="32">
        <v>2530</v>
      </c>
      <c r="T21" s="32">
        <v>5756</v>
      </c>
      <c r="U21" s="32">
        <v>928</v>
      </c>
      <c r="V21" s="32">
        <v>1863</v>
      </c>
      <c r="W21" s="32">
        <v>14582</v>
      </c>
      <c r="X21" s="32">
        <v>30575</v>
      </c>
      <c r="Y21" s="32">
        <v>4487</v>
      </c>
      <c r="Z21" s="32">
        <v>638</v>
      </c>
      <c r="AA21" s="32">
        <v>34425</v>
      </c>
      <c r="AB21" s="32">
        <v>2113</v>
      </c>
      <c r="AC21" s="32">
        <v>162956</v>
      </c>
    </row>
    <row r="22" spans="1:29" x14ac:dyDescent="0.3">
      <c r="A22" s="31" t="s">
        <v>332</v>
      </c>
      <c r="B22" s="32">
        <v>4698</v>
      </c>
      <c r="C22" s="32">
        <v>1039</v>
      </c>
      <c r="D22" s="32">
        <v>331</v>
      </c>
      <c r="E22" s="32">
        <v>73</v>
      </c>
      <c r="F22" s="32">
        <v>6141</v>
      </c>
      <c r="G22" s="32">
        <v>591</v>
      </c>
      <c r="H22" s="32">
        <v>6732</v>
      </c>
      <c r="I22" s="32">
        <v>4122</v>
      </c>
      <c r="J22" s="32">
        <v>529</v>
      </c>
      <c r="K22" s="32">
        <v>1656</v>
      </c>
      <c r="L22" s="32">
        <v>6307</v>
      </c>
      <c r="M22" s="32">
        <v>6898</v>
      </c>
      <c r="N22" s="32">
        <v>2212</v>
      </c>
      <c r="O22" s="32">
        <v>126</v>
      </c>
      <c r="P22" s="32">
        <v>718</v>
      </c>
      <c r="Q22" s="32">
        <v>43</v>
      </c>
      <c r="R22" s="32">
        <v>367</v>
      </c>
      <c r="S22" s="32">
        <v>2503</v>
      </c>
      <c r="T22" s="32">
        <v>5692</v>
      </c>
      <c r="U22" s="32">
        <v>918</v>
      </c>
      <c r="V22" s="32">
        <v>1843</v>
      </c>
      <c r="W22" s="32">
        <v>14422</v>
      </c>
      <c r="X22" s="32">
        <v>27461</v>
      </c>
      <c r="Y22" s="32">
        <v>4030</v>
      </c>
      <c r="Z22" s="32">
        <v>573</v>
      </c>
      <c r="AA22" s="32">
        <v>30918</v>
      </c>
      <c r="AB22" s="32">
        <v>2008</v>
      </c>
      <c r="AC22" s="32">
        <v>153955</v>
      </c>
    </row>
    <row r="23" spans="1:29" x14ac:dyDescent="0.3">
      <c r="A23" s="31" t="s">
        <v>333</v>
      </c>
      <c r="B23" s="32">
        <v>4349</v>
      </c>
      <c r="C23" s="32">
        <v>684</v>
      </c>
      <c r="D23" s="32">
        <v>143</v>
      </c>
      <c r="E23" s="32">
        <v>52</v>
      </c>
      <c r="F23" s="32">
        <v>5229</v>
      </c>
      <c r="G23" s="32">
        <v>172</v>
      </c>
      <c r="H23" s="32">
        <v>5401</v>
      </c>
      <c r="I23" s="32">
        <v>1983</v>
      </c>
      <c r="J23" s="32">
        <v>254</v>
      </c>
      <c r="K23" s="32">
        <v>797</v>
      </c>
      <c r="L23" s="32">
        <v>3034</v>
      </c>
      <c r="M23" s="32">
        <v>3206</v>
      </c>
      <c r="N23" s="32">
        <v>1064</v>
      </c>
      <c r="O23" s="32">
        <v>60</v>
      </c>
      <c r="P23" s="32">
        <v>345</v>
      </c>
      <c r="Q23" s="32">
        <v>21</v>
      </c>
      <c r="R23" s="32">
        <v>177</v>
      </c>
      <c r="S23" s="32">
        <v>1204</v>
      </c>
      <c r="T23" s="32">
        <v>2738</v>
      </c>
      <c r="U23" s="32">
        <v>442</v>
      </c>
      <c r="V23" s="32">
        <v>886</v>
      </c>
      <c r="W23" s="32">
        <v>6937</v>
      </c>
      <c r="X23" s="32">
        <v>15372</v>
      </c>
      <c r="Y23" s="32">
        <v>2256</v>
      </c>
      <c r="Z23" s="32">
        <v>321</v>
      </c>
      <c r="AA23" s="32">
        <v>17308</v>
      </c>
      <c r="AB23" s="32">
        <v>1263</v>
      </c>
      <c r="AC23" s="32">
        <v>137007</v>
      </c>
    </row>
    <row r="24" spans="1:29" x14ac:dyDescent="0.3">
      <c r="A24" s="31" t="s">
        <v>334</v>
      </c>
      <c r="B24" s="32">
        <v>6043</v>
      </c>
      <c r="C24" s="32">
        <v>2489</v>
      </c>
      <c r="D24" s="32">
        <v>480</v>
      </c>
      <c r="E24" s="32">
        <v>78</v>
      </c>
      <c r="F24" s="32">
        <v>9090</v>
      </c>
      <c r="G24" s="32">
        <v>227</v>
      </c>
      <c r="H24" s="32">
        <v>9317</v>
      </c>
      <c r="I24" s="32">
        <v>5551</v>
      </c>
      <c r="J24" s="32">
        <v>712</v>
      </c>
      <c r="K24" s="32">
        <v>2230</v>
      </c>
      <c r="L24" s="32">
        <v>8493</v>
      </c>
      <c r="M24" s="32">
        <v>8720</v>
      </c>
      <c r="N24" s="32">
        <v>2978</v>
      </c>
      <c r="O24" s="32">
        <v>169</v>
      </c>
      <c r="P24" s="32">
        <v>966</v>
      </c>
      <c r="Q24" s="32">
        <v>58</v>
      </c>
      <c r="R24" s="32">
        <v>494</v>
      </c>
      <c r="S24" s="32">
        <v>3370</v>
      </c>
      <c r="T24" s="32">
        <v>7665</v>
      </c>
      <c r="U24" s="32">
        <v>1236</v>
      </c>
      <c r="V24" s="32">
        <v>2481</v>
      </c>
      <c r="W24" s="32">
        <v>19419</v>
      </c>
      <c r="X24" s="32">
        <v>37229</v>
      </c>
      <c r="Y24" s="32">
        <v>5463</v>
      </c>
      <c r="Z24" s="32">
        <v>776</v>
      </c>
      <c r="AA24" s="32">
        <v>41916</v>
      </c>
      <c r="AB24" s="32">
        <v>2790</v>
      </c>
      <c r="AC24" s="32">
        <v>150254</v>
      </c>
    </row>
    <row r="25" spans="1:29" x14ac:dyDescent="0.3">
      <c r="A25" s="31" t="s">
        <v>335</v>
      </c>
      <c r="B25" s="32">
        <v>6359</v>
      </c>
      <c r="C25" s="32">
        <v>1811</v>
      </c>
      <c r="D25" s="32">
        <v>1288</v>
      </c>
      <c r="E25" s="32">
        <v>25</v>
      </c>
      <c r="F25" s="32">
        <v>9483</v>
      </c>
      <c r="G25" s="32">
        <v>541</v>
      </c>
      <c r="H25" s="32">
        <v>10024</v>
      </c>
      <c r="I25" s="32">
        <v>8121</v>
      </c>
      <c r="J25" s="32">
        <v>1042</v>
      </c>
      <c r="K25" s="32">
        <v>3262</v>
      </c>
      <c r="L25" s="32">
        <v>12425</v>
      </c>
      <c r="M25" s="32">
        <v>12965</v>
      </c>
      <c r="N25" s="32">
        <v>4357</v>
      </c>
      <c r="O25" s="32">
        <v>248</v>
      </c>
      <c r="P25" s="32">
        <v>1414</v>
      </c>
      <c r="Q25" s="32">
        <v>85</v>
      </c>
      <c r="R25" s="32">
        <v>723</v>
      </c>
      <c r="S25" s="32">
        <v>4930</v>
      </c>
      <c r="T25" s="32">
        <v>11214</v>
      </c>
      <c r="U25" s="32">
        <v>1808</v>
      </c>
      <c r="V25" s="32">
        <v>3630</v>
      </c>
      <c r="W25" s="32">
        <v>28410</v>
      </c>
      <c r="X25" s="32">
        <v>50859</v>
      </c>
      <c r="Y25" s="32">
        <v>7464</v>
      </c>
      <c r="Z25" s="32">
        <v>1061</v>
      </c>
      <c r="AA25" s="32">
        <v>57262</v>
      </c>
      <c r="AB25" s="32">
        <v>3660</v>
      </c>
      <c r="AC25" s="32">
        <v>156471</v>
      </c>
    </row>
    <row r="26" spans="1:29" x14ac:dyDescent="0.3">
      <c r="A26" s="31" t="s">
        <v>336</v>
      </c>
      <c r="B26" s="32">
        <v>7334</v>
      </c>
      <c r="C26" s="32">
        <v>2383</v>
      </c>
      <c r="D26" s="32">
        <v>528</v>
      </c>
      <c r="E26" s="32">
        <v>94</v>
      </c>
      <c r="F26" s="32">
        <v>10338</v>
      </c>
      <c r="G26" s="32">
        <v>104</v>
      </c>
      <c r="H26" s="32">
        <v>10442</v>
      </c>
      <c r="I26" s="32">
        <v>3451</v>
      </c>
      <c r="J26" s="32">
        <v>443</v>
      </c>
      <c r="K26" s="32">
        <v>1386</v>
      </c>
      <c r="L26" s="32">
        <v>5281</v>
      </c>
      <c r="M26" s="32">
        <v>5385</v>
      </c>
      <c r="N26" s="32">
        <v>1852</v>
      </c>
      <c r="O26" s="32">
        <v>105</v>
      </c>
      <c r="P26" s="32">
        <v>601</v>
      </c>
      <c r="Q26" s="32">
        <v>36</v>
      </c>
      <c r="R26" s="32">
        <v>307</v>
      </c>
      <c r="S26" s="32">
        <v>2095</v>
      </c>
      <c r="T26" s="32">
        <v>4766</v>
      </c>
      <c r="U26" s="32">
        <v>769</v>
      </c>
      <c r="V26" s="32">
        <v>1543</v>
      </c>
      <c r="W26" s="32">
        <v>12075</v>
      </c>
      <c r="X26" s="32">
        <v>27797</v>
      </c>
      <c r="Y26" s="32">
        <v>4079</v>
      </c>
      <c r="Z26" s="32">
        <v>580</v>
      </c>
      <c r="AA26" s="32">
        <v>31297</v>
      </c>
      <c r="AB26" s="32">
        <v>1782</v>
      </c>
      <c r="AC26" s="32">
        <v>175590</v>
      </c>
    </row>
    <row r="27" spans="1:29" x14ac:dyDescent="0.3">
      <c r="A27" s="31" t="s">
        <v>337</v>
      </c>
      <c r="B27" s="32">
        <v>6789</v>
      </c>
      <c r="C27" s="32">
        <v>1593</v>
      </c>
      <c r="D27" s="32">
        <v>3477</v>
      </c>
      <c r="E27" s="32">
        <v>27</v>
      </c>
      <c r="F27" s="32">
        <v>11886</v>
      </c>
      <c r="G27" s="32">
        <v>101</v>
      </c>
      <c r="H27" s="32">
        <v>11987</v>
      </c>
      <c r="I27" s="32">
        <v>6105</v>
      </c>
      <c r="J27" s="32">
        <v>784</v>
      </c>
      <c r="K27" s="32">
        <v>2453</v>
      </c>
      <c r="L27" s="32">
        <v>9341</v>
      </c>
      <c r="M27" s="32">
        <v>9443</v>
      </c>
      <c r="N27" s="32">
        <v>3276</v>
      </c>
      <c r="O27" s="32">
        <v>186</v>
      </c>
      <c r="P27" s="32">
        <v>1063</v>
      </c>
      <c r="Q27" s="32">
        <v>64</v>
      </c>
      <c r="R27" s="32">
        <v>544</v>
      </c>
      <c r="S27" s="32">
        <v>3707</v>
      </c>
      <c r="T27" s="32">
        <v>8431</v>
      </c>
      <c r="U27" s="32">
        <v>1360</v>
      </c>
      <c r="V27" s="32">
        <v>2729</v>
      </c>
      <c r="W27" s="32">
        <v>21359</v>
      </c>
      <c r="X27" s="32">
        <v>42688</v>
      </c>
      <c r="Y27" s="32">
        <v>6265</v>
      </c>
      <c r="Z27" s="32">
        <v>890</v>
      </c>
      <c r="AA27" s="32">
        <v>48062</v>
      </c>
      <c r="AB27" s="32">
        <v>2666</v>
      </c>
      <c r="AC27" s="32">
        <v>180251</v>
      </c>
    </row>
    <row r="28" spans="1:29" s="2" customFormat="1" x14ac:dyDescent="0.3">
      <c r="A28" s="14" t="s">
        <v>403</v>
      </c>
      <c r="B28" s="15">
        <v>48527</v>
      </c>
      <c r="C28" s="15">
        <v>14607</v>
      </c>
      <c r="D28" s="15">
        <v>9394</v>
      </c>
      <c r="E28" s="15">
        <v>431</v>
      </c>
      <c r="F28" s="15">
        <v>72959</v>
      </c>
      <c r="G28" s="15">
        <v>2530</v>
      </c>
      <c r="H28" s="15">
        <v>75490</v>
      </c>
      <c r="I28" s="15">
        <v>46330</v>
      </c>
      <c r="J28" s="15">
        <v>5945</v>
      </c>
      <c r="K28" s="15">
        <v>18611</v>
      </c>
      <c r="L28" s="15">
        <v>70887</v>
      </c>
      <c r="M28" s="15">
        <v>73417</v>
      </c>
      <c r="N28" s="15">
        <v>24860</v>
      </c>
      <c r="O28" s="15">
        <v>1412</v>
      </c>
      <c r="P28" s="15">
        <v>8066</v>
      </c>
      <c r="Q28" s="15">
        <v>486</v>
      </c>
      <c r="R28" s="15">
        <v>4126</v>
      </c>
      <c r="S28" s="15">
        <v>28127</v>
      </c>
      <c r="T28" s="15">
        <v>63977</v>
      </c>
      <c r="U28" s="15">
        <v>10318</v>
      </c>
      <c r="V28" s="15">
        <v>20710</v>
      </c>
      <c r="W28" s="15">
        <v>162084</v>
      </c>
      <c r="X28" s="15">
        <v>308460</v>
      </c>
      <c r="Y28" s="15">
        <v>45268</v>
      </c>
      <c r="Z28" s="15">
        <v>6434</v>
      </c>
      <c r="AA28" s="15">
        <v>347296</v>
      </c>
      <c r="AB28" s="15">
        <v>20392</v>
      </c>
      <c r="AC28" s="15">
        <f>AVERAGE(AC20:AC27)</f>
        <v>165747.375</v>
      </c>
    </row>
    <row r="29" spans="1:29" x14ac:dyDescent="0.3">
      <c r="A29" s="34" t="s">
        <v>338</v>
      </c>
      <c r="B29" s="35">
        <v>9553</v>
      </c>
      <c r="C29" s="35">
        <v>1167</v>
      </c>
      <c r="D29" s="35">
        <v>359</v>
      </c>
      <c r="E29" s="35">
        <v>94</v>
      </c>
      <c r="F29" s="35">
        <v>11172</v>
      </c>
      <c r="G29" s="35">
        <v>4234</v>
      </c>
      <c r="H29" s="35">
        <v>15407</v>
      </c>
      <c r="I29" s="35">
        <v>3839</v>
      </c>
      <c r="J29" s="35">
        <v>493</v>
      </c>
      <c r="K29" s="35">
        <v>1542</v>
      </c>
      <c r="L29" s="35">
        <v>5874</v>
      </c>
      <c r="M29" s="35">
        <v>10108</v>
      </c>
      <c r="N29" s="35">
        <v>2060</v>
      </c>
      <c r="O29" s="35">
        <v>117</v>
      </c>
      <c r="P29" s="35">
        <v>668</v>
      </c>
      <c r="Q29" s="35">
        <v>40</v>
      </c>
      <c r="R29" s="35">
        <v>342</v>
      </c>
      <c r="S29" s="35">
        <v>2331</v>
      </c>
      <c r="T29" s="35">
        <v>5301</v>
      </c>
      <c r="U29" s="35">
        <v>855</v>
      </c>
      <c r="V29" s="35">
        <v>1716</v>
      </c>
      <c r="W29" s="35">
        <v>13430</v>
      </c>
      <c r="X29" s="35">
        <v>34711</v>
      </c>
      <c r="Y29" s="35">
        <v>5094</v>
      </c>
      <c r="Z29" s="35">
        <v>724</v>
      </c>
      <c r="AA29" s="35">
        <v>39081</v>
      </c>
      <c r="AB29" s="35">
        <v>2795</v>
      </c>
      <c r="AC29" s="35">
        <v>139799</v>
      </c>
    </row>
    <row r="30" spans="1:29" x14ac:dyDescent="0.3">
      <c r="A30" s="34" t="s">
        <v>339</v>
      </c>
      <c r="B30" s="35">
        <v>5094</v>
      </c>
      <c r="C30" s="35">
        <v>524</v>
      </c>
      <c r="D30" s="35">
        <v>253</v>
      </c>
      <c r="E30" s="35">
        <v>139</v>
      </c>
      <c r="F30" s="35">
        <v>6009</v>
      </c>
      <c r="G30" s="35">
        <v>538</v>
      </c>
      <c r="H30" s="35">
        <v>6547</v>
      </c>
      <c r="I30" s="35">
        <v>5137</v>
      </c>
      <c r="J30" s="35">
        <v>659</v>
      </c>
      <c r="K30" s="35">
        <v>2063</v>
      </c>
      <c r="L30" s="35">
        <v>7860</v>
      </c>
      <c r="M30" s="35">
        <v>8398</v>
      </c>
      <c r="N30" s="35">
        <v>2756</v>
      </c>
      <c r="O30" s="35">
        <v>157</v>
      </c>
      <c r="P30" s="35">
        <v>894</v>
      </c>
      <c r="Q30" s="35">
        <v>54</v>
      </c>
      <c r="R30" s="35">
        <v>458</v>
      </c>
      <c r="S30" s="35">
        <v>3119</v>
      </c>
      <c r="T30" s="35">
        <v>7093</v>
      </c>
      <c r="U30" s="35">
        <v>1144</v>
      </c>
      <c r="V30" s="35">
        <v>2296</v>
      </c>
      <c r="W30" s="35">
        <v>17971</v>
      </c>
      <c r="X30" s="35">
        <v>32377</v>
      </c>
      <c r="Y30" s="35">
        <v>4751</v>
      </c>
      <c r="Z30" s="35">
        <v>675</v>
      </c>
      <c r="AA30" s="35">
        <v>36454</v>
      </c>
      <c r="AB30" s="35">
        <v>2005</v>
      </c>
      <c r="AC30" s="35">
        <v>181851</v>
      </c>
    </row>
    <row r="31" spans="1:29" x14ac:dyDescent="0.3">
      <c r="A31" s="34" t="s">
        <v>340</v>
      </c>
      <c r="B31" s="35">
        <v>4667</v>
      </c>
      <c r="C31" s="35">
        <v>425</v>
      </c>
      <c r="D31" s="35">
        <v>185</v>
      </c>
      <c r="E31" s="35">
        <v>91</v>
      </c>
      <c r="F31" s="35">
        <v>5368</v>
      </c>
      <c r="G31" s="35">
        <v>4</v>
      </c>
      <c r="H31" s="35">
        <v>5373</v>
      </c>
      <c r="I31" s="35">
        <v>1892</v>
      </c>
      <c r="J31" s="35">
        <v>243</v>
      </c>
      <c r="K31" s="35">
        <v>760</v>
      </c>
      <c r="L31" s="35">
        <v>2894</v>
      </c>
      <c r="M31" s="35">
        <v>2898</v>
      </c>
      <c r="N31" s="35">
        <v>1015</v>
      </c>
      <c r="O31" s="35">
        <v>58</v>
      </c>
      <c r="P31" s="35">
        <v>329</v>
      </c>
      <c r="Q31" s="35">
        <v>20</v>
      </c>
      <c r="R31" s="35">
        <v>168</v>
      </c>
      <c r="S31" s="35">
        <v>1148</v>
      </c>
      <c r="T31" s="35">
        <v>2612</v>
      </c>
      <c r="U31" s="35">
        <v>421</v>
      </c>
      <c r="V31" s="35">
        <v>846</v>
      </c>
      <c r="W31" s="35">
        <v>6617</v>
      </c>
      <c r="X31" s="35">
        <v>14884</v>
      </c>
      <c r="Y31" s="35">
        <v>2184</v>
      </c>
      <c r="Z31" s="35">
        <v>310</v>
      </c>
      <c r="AA31" s="35">
        <v>16758</v>
      </c>
      <c r="AB31" s="35">
        <v>1288</v>
      </c>
      <c r="AC31" s="35">
        <v>130067</v>
      </c>
    </row>
    <row r="32" spans="1:29" x14ac:dyDescent="0.3">
      <c r="A32" s="34" t="s">
        <v>341</v>
      </c>
      <c r="B32" s="35">
        <v>7826</v>
      </c>
      <c r="C32" s="35">
        <v>1298</v>
      </c>
      <c r="D32" s="35">
        <v>1141</v>
      </c>
      <c r="E32" s="35">
        <v>21</v>
      </c>
      <c r="F32" s="35">
        <v>10285</v>
      </c>
      <c r="G32" s="35">
        <v>430</v>
      </c>
      <c r="H32" s="35">
        <v>10715</v>
      </c>
      <c r="I32" s="35">
        <v>7367</v>
      </c>
      <c r="J32" s="35">
        <v>945</v>
      </c>
      <c r="K32" s="35">
        <v>2959</v>
      </c>
      <c r="L32" s="35">
        <v>11271</v>
      </c>
      <c r="M32" s="35">
        <v>11701</v>
      </c>
      <c r="N32" s="35">
        <v>3953</v>
      </c>
      <c r="O32" s="35">
        <v>225</v>
      </c>
      <c r="P32" s="35">
        <v>1282</v>
      </c>
      <c r="Q32" s="35">
        <v>78</v>
      </c>
      <c r="R32" s="35">
        <v>656</v>
      </c>
      <c r="S32" s="35">
        <v>4472</v>
      </c>
      <c r="T32" s="35">
        <v>10172</v>
      </c>
      <c r="U32" s="35">
        <v>1641</v>
      </c>
      <c r="V32" s="35">
        <v>3293</v>
      </c>
      <c r="W32" s="35">
        <v>25771</v>
      </c>
      <c r="X32" s="35">
        <v>47757</v>
      </c>
      <c r="Y32" s="35">
        <v>7009</v>
      </c>
      <c r="Z32" s="35">
        <v>996</v>
      </c>
      <c r="AA32" s="35">
        <v>53770</v>
      </c>
      <c r="AB32" s="35">
        <v>3178</v>
      </c>
      <c r="AC32" s="35">
        <v>169204</v>
      </c>
    </row>
    <row r="33" spans="1:29" x14ac:dyDescent="0.3">
      <c r="A33" s="34" t="s">
        <v>342</v>
      </c>
      <c r="B33" s="35">
        <v>6751</v>
      </c>
      <c r="C33" s="35">
        <v>852</v>
      </c>
      <c r="D33" s="35">
        <v>1873</v>
      </c>
      <c r="E33" s="35">
        <v>47</v>
      </c>
      <c r="F33" s="35">
        <v>9523</v>
      </c>
      <c r="G33" s="35">
        <v>1961</v>
      </c>
      <c r="H33" s="35">
        <v>11484</v>
      </c>
      <c r="I33" s="35">
        <v>5328</v>
      </c>
      <c r="J33" s="35">
        <v>684</v>
      </c>
      <c r="K33" s="35">
        <v>2140</v>
      </c>
      <c r="L33" s="35">
        <v>8152</v>
      </c>
      <c r="M33" s="35">
        <v>10114</v>
      </c>
      <c r="N33" s="35">
        <v>2859</v>
      </c>
      <c r="O33" s="35">
        <v>162</v>
      </c>
      <c r="P33" s="35">
        <v>928</v>
      </c>
      <c r="Q33" s="35">
        <v>56</v>
      </c>
      <c r="R33" s="35">
        <v>475</v>
      </c>
      <c r="S33" s="35">
        <v>3235</v>
      </c>
      <c r="T33" s="35">
        <v>7357</v>
      </c>
      <c r="U33" s="35">
        <v>1187</v>
      </c>
      <c r="V33" s="35">
        <v>2382</v>
      </c>
      <c r="W33" s="35">
        <v>18640</v>
      </c>
      <c r="X33" s="35">
        <v>38276</v>
      </c>
      <c r="Y33" s="35">
        <v>5617</v>
      </c>
      <c r="Z33" s="35">
        <v>798</v>
      </c>
      <c r="AA33" s="35">
        <v>43095</v>
      </c>
      <c r="AB33" s="35">
        <v>2998</v>
      </c>
      <c r="AC33" s="35">
        <v>143750</v>
      </c>
    </row>
    <row r="34" spans="1:29" s="2" customFormat="1" x14ac:dyDescent="0.3">
      <c r="A34" s="16" t="s">
        <v>407</v>
      </c>
      <c r="B34" s="17">
        <v>33891</v>
      </c>
      <c r="C34" s="17">
        <v>4266</v>
      </c>
      <c r="D34" s="17">
        <v>3811</v>
      </c>
      <c r="E34" s="17">
        <v>392</v>
      </c>
      <c r="F34" s="17">
        <v>42357</v>
      </c>
      <c r="G34" s="17">
        <v>7167</v>
      </c>
      <c r="H34" s="17">
        <v>49526</v>
      </c>
      <c r="I34" s="17">
        <v>23563</v>
      </c>
      <c r="J34" s="17">
        <v>3024</v>
      </c>
      <c r="K34" s="17">
        <v>9464</v>
      </c>
      <c r="L34" s="17">
        <v>36051</v>
      </c>
      <c r="M34" s="17">
        <v>43219</v>
      </c>
      <c r="N34" s="17">
        <v>12643</v>
      </c>
      <c r="O34" s="17">
        <v>719</v>
      </c>
      <c r="P34" s="17">
        <v>4101</v>
      </c>
      <c r="Q34" s="17">
        <v>248</v>
      </c>
      <c r="R34" s="17">
        <v>2099</v>
      </c>
      <c r="S34" s="17">
        <v>14305</v>
      </c>
      <c r="T34" s="17">
        <v>32535</v>
      </c>
      <c r="U34" s="17">
        <v>5248</v>
      </c>
      <c r="V34" s="17">
        <v>10533</v>
      </c>
      <c r="W34" s="17">
        <v>82429</v>
      </c>
      <c r="X34" s="17">
        <v>168005</v>
      </c>
      <c r="Y34" s="17">
        <v>24655</v>
      </c>
      <c r="Z34" s="17">
        <v>3503</v>
      </c>
      <c r="AA34" s="17">
        <v>189158</v>
      </c>
      <c r="AB34" s="17">
        <v>12264</v>
      </c>
      <c r="AC34" s="17">
        <f>AVERAGE(AC29:AC33)</f>
        <v>152934.20000000001</v>
      </c>
    </row>
    <row r="35" spans="1:29" x14ac:dyDescent="0.3">
      <c r="A35" s="20" t="s">
        <v>343</v>
      </c>
      <c r="B35" s="21">
        <v>4898</v>
      </c>
      <c r="C35" s="21">
        <v>453</v>
      </c>
      <c r="D35" s="21">
        <v>1431</v>
      </c>
      <c r="E35" s="21">
        <v>39</v>
      </c>
      <c r="F35" s="21">
        <v>6822</v>
      </c>
      <c r="G35" s="21">
        <v>266</v>
      </c>
      <c r="H35" s="21">
        <v>7087</v>
      </c>
      <c r="I35" s="21">
        <v>3851</v>
      </c>
      <c r="J35" s="21">
        <v>494</v>
      </c>
      <c r="K35" s="21">
        <v>1547</v>
      </c>
      <c r="L35" s="21">
        <v>5892</v>
      </c>
      <c r="M35" s="21">
        <v>6158</v>
      </c>
      <c r="N35" s="21">
        <v>2066</v>
      </c>
      <c r="O35" s="21">
        <v>117</v>
      </c>
      <c r="P35" s="21">
        <v>670</v>
      </c>
      <c r="Q35" s="21">
        <v>41</v>
      </c>
      <c r="R35" s="21">
        <v>343</v>
      </c>
      <c r="S35" s="21">
        <v>2338</v>
      </c>
      <c r="T35" s="21">
        <v>5318</v>
      </c>
      <c r="U35" s="21">
        <v>858</v>
      </c>
      <c r="V35" s="21">
        <v>1721</v>
      </c>
      <c r="W35" s="21">
        <v>13472</v>
      </c>
      <c r="X35" s="21">
        <v>26451</v>
      </c>
      <c r="Y35" s="21">
        <v>3882</v>
      </c>
      <c r="Z35" s="21">
        <v>552</v>
      </c>
      <c r="AA35" s="21">
        <v>29782</v>
      </c>
      <c r="AB35" s="21">
        <v>1425</v>
      </c>
      <c r="AC35" s="21">
        <v>208945</v>
      </c>
    </row>
    <row r="36" spans="1:29" x14ac:dyDescent="0.3">
      <c r="A36" s="20" t="s">
        <v>344</v>
      </c>
      <c r="B36" s="21">
        <v>6393</v>
      </c>
      <c r="C36" s="21">
        <v>977</v>
      </c>
      <c r="D36" s="21">
        <v>1430</v>
      </c>
      <c r="E36" s="21">
        <v>284</v>
      </c>
      <c r="F36" s="21">
        <v>9084</v>
      </c>
      <c r="G36" s="21">
        <v>1524</v>
      </c>
      <c r="H36" s="21">
        <v>10608</v>
      </c>
      <c r="I36" s="21">
        <v>25370</v>
      </c>
      <c r="J36" s="21">
        <v>3256</v>
      </c>
      <c r="K36" s="21">
        <v>10191</v>
      </c>
      <c r="L36" s="21">
        <v>38818</v>
      </c>
      <c r="M36" s="21">
        <v>40342</v>
      </c>
      <c r="N36" s="21">
        <v>13613</v>
      </c>
      <c r="O36" s="21">
        <v>773</v>
      </c>
      <c r="P36" s="21">
        <v>4417</v>
      </c>
      <c r="Q36" s="21">
        <v>267</v>
      </c>
      <c r="R36" s="21">
        <v>2260</v>
      </c>
      <c r="S36" s="21">
        <v>15402</v>
      </c>
      <c r="T36" s="21">
        <v>35034</v>
      </c>
      <c r="U36" s="21">
        <v>5650</v>
      </c>
      <c r="V36" s="21">
        <v>11341</v>
      </c>
      <c r="W36" s="21">
        <v>88758</v>
      </c>
      <c r="X36" s="21">
        <v>138184</v>
      </c>
      <c r="Y36" s="21">
        <v>20279</v>
      </c>
      <c r="Z36" s="21">
        <v>2882</v>
      </c>
      <c r="AA36" s="21">
        <v>155582</v>
      </c>
      <c r="AB36" s="21">
        <v>5318</v>
      </c>
      <c r="AC36" s="21">
        <v>292579</v>
      </c>
    </row>
    <row r="37" spans="1:29" x14ac:dyDescent="0.3">
      <c r="A37" s="20" t="s">
        <v>345</v>
      </c>
      <c r="B37" s="21">
        <v>1950</v>
      </c>
      <c r="C37" s="21">
        <v>637</v>
      </c>
      <c r="D37" s="21">
        <v>1431</v>
      </c>
      <c r="E37" s="21">
        <v>81</v>
      </c>
      <c r="F37" s="21">
        <v>4099</v>
      </c>
      <c r="G37" s="21">
        <v>816</v>
      </c>
      <c r="H37" s="21">
        <v>4916</v>
      </c>
      <c r="I37" s="21">
        <v>2806</v>
      </c>
      <c r="J37" s="21">
        <v>360</v>
      </c>
      <c r="K37" s="21">
        <v>1127</v>
      </c>
      <c r="L37" s="21">
        <v>4293</v>
      </c>
      <c r="M37" s="21">
        <v>5110</v>
      </c>
      <c r="N37" s="21">
        <v>1506</v>
      </c>
      <c r="O37" s="21">
        <v>86</v>
      </c>
      <c r="P37" s="21">
        <v>488</v>
      </c>
      <c r="Q37" s="21">
        <v>30</v>
      </c>
      <c r="R37" s="21">
        <v>250</v>
      </c>
      <c r="S37" s="21">
        <v>1703</v>
      </c>
      <c r="T37" s="21">
        <v>3875</v>
      </c>
      <c r="U37" s="21">
        <v>625</v>
      </c>
      <c r="V37" s="21">
        <v>1254</v>
      </c>
      <c r="W37" s="21">
        <v>9816</v>
      </c>
      <c r="X37" s="21">
        <v>19025</v>
      </c>
      <c r="Y37" s="21">
        <v>2792</v>
      </c>
      <c r="Z37" s="21">
        <v>397</v>
      </c>
      <c r="AA37" s="21">
        <v>21420</v>
      </c>
      <c r="AB37" s="21">
        <v>1295</v>
      </c>
      <c r="AC37" s="21">
        <v>165447</v>
      </c>
    </row>
    <row r="38" spans="1:29" x14ac:dyDescent="0.3">
      <c r="A38" s="20" t="s">
        <v>346</v>
      </c>
      <c r="B38" s="21">
        <v>1848</v>
      </c>
      <c r="C38" s="21">
        <v>497</v>
      </c>
      <c r="D38" s="21">
        <v>487</v>
      </c>
      <c r="E38" s="21">
        <v>101</v>
      </c>
      <c r="F38" s="21">
        <v>2933</v>
      </c>
      <c r="G38" s="21">
        <v>1672</v>
      </c>
      <c r="H38" s="21">
        <v>4605</v>
      </c>
      <c r="I38" s="21">
        <v>3069</v>
      </c>
      <c r="J38" s="21">
        <v>394</v>
      </c>
      <c r="K38" s="21">
        <v>1233</v>
      </c>
      <c r="L38" s="21">
        <v>4696</v>
      </c>
      <c r="M38" s="21">
        <v>6369</v>
      </c>
      <c r="N38" s="21">
        <v>1647</v>
      </c>
      <c r="O38" s="21">
        <v>94</v>
      </c>
      <c r="P38" s="21">
        <v>534</v>
      </c>
      <c r="Q38" s="21">
        <v>32</v>
      </c>
      <c r="R38" s="21">
        <v>273</v>
      </c>
      <c r="S38" s="21">
        <v>1863</v>
      </c>
      <c r="T38" s="21">
        <v>4239</v>
      </c>
      <c r="U38" s="21">
        <v>684</v>
      </c>
      <c r="V38" s="21">
        <v>1372</v>
      </c>
      <c r="W38" s="21">
        <v>10738</v>
      </c>
      <c r="X38" s="21">
        <v>20040</v>
      </c>
      <c r="Y38" s="21">
        <v>2941</v>
      </c>
      <c r="Z38" s="21">
        <v>418</v>
      </c>
      <c r="AA38" s="21">
        <v>22563</v>
      </c>
      <c r="AB38" s="21">
        <v>1422</v>
      </c>
      <c r="AC38" s="21">
        <v>158633</v>
      </c>
    </row>
    <row r="39" spans="1:29" x14ac:dyDescent="0.3">
      <c r="A39" s="20" t="s">
        <v>347</v>
      </c>
      <c r="B39" s="21">
        <v>3460</v>
      </c>
      <c r="C39" s="21">
        <v>508</v>
      </c>
      <c r="D39" s="21">
        <v>3589</v>
      </c>
      <c r="E39" s="21">
        <v>125</v>
      </c>
      <c r="F39" s="21">
        <v>7682</v>
      </c>
      <c r="G39" s="21">
        <v>5203</v>
      </c>
      <c r="H39" s="21">
        <v>12885</v>
      </c>
      <c r="I39" s="21">
        <v>5997</v>
      </c>
      <c r="J39" s="21">
        <v>770</v>
      </c>
      <c r="K39" s="21">
        <v>2409</v>
      </c>
      <c r="L39" s="21">
        <v>9175</v>
      </c>
      <c r="M39" s="21">
        <v>14378</v>
      </c>
      <c r="N39" s="21">
        <v>3218</v>
      </c>
      <c r="O39" s="21">
        <v>183</v>
      </c>
      <c r="P39" s="21">
        <v>1044</v>
      </c>
      <c r="Q39" s="21">
        <v>63</v>
      </c>
      <c r="R39" s="21">
        <v>534</v>
      </c>
      <c r="S39" s="21">
        <v>3640</v>
      </c>
      <c r="T39" s="21">
        <v>8281</v>
      </c>
      <c r="U39" s="21">
        <v>1335</v>
      </c>
      <c r="V39" s="21">
        <v>2681</v>
      </c>
      <c r="W39" s="21">
        <v>20979</v>
      </c>
      <c r="X39" s="21">
        <v>43039</v>
      </c>
      <c r="Y39" s="21">
        <v>6316</v>
      </c>
      <c r="Z39" s="21">
        <v>898</v>
      </c>
      <c r="AA39" s="21">
        <v>48457</v>
      </c>
      <c r="AB39" s="21">
        <v>2423</v>
      </c>
      <c r="AC39" s="21">
        <v>199988</v>
      </c>
    </row>
    <row r="40" spans="1:29" x14ac:dyDescent="0.3">
      <c r="A40" s="20" t="s">
        <v>348</v>
      </c>
      <c r="B40" s="21">
        <v>972</v>
      </c>
      <c r="C40" s="21">
        <v>507</v>
      </c>
      <c r="D40" s="21">
        <v>1152</v>
      </c>
      <c r="E40" s="21">
        <v>51</v>
      </c>
      <c r="F40" s="21">
        <v>2681</v>
      </c>
      <c r="G40" s="21">
        <v>37</v>
      </c>
      <c r="H40" s="21">
        <v>2717</v>
      </c>
      <c r="I40" s="21">
        <v>1919</v>
      </c>
      <c r="J40" s="21">
        <v>246</v>
      </c>
      <c r="K40" s="21">
        <v>771</v>
      </c>
      <c r="L40" s="21">
        <v>2936</v>
      </c>
      <c r="M40" s="21">
        <v>2973</v>
      </c>
      <c r="N40" s="21">
        <v>1030</v>
      </c>
      <c r="O40" s="21">
        <v>59</v>
      </c>
      <c r="P40" s="21">
        <v>334</v>
      </c>
      <c r="Q40" s="21">
        <v>20</v>
      </c>
      <c r="R40" s="21">
        <v>171</v>
      </c>
      <c r="S40" s="21">
        <v>1165</v>
      </c>
      <c r="T40" s="21">
        <v>2650</v>
      </c>
      <c r="U40" s="21">
        <v>427</v>
      </c>
      <c r="V40" s="21">
        <v>858</v>
      </c>
      <c r="W40" s="21">
        <v>6714</v>
      </c>
      <c r="X40" s="21">
        <v>12367</v>
      </c>
      <c r="Y40" s="21">
        <v>1815</v>
      </c>
      <c r="Z40" s="21">
        <v>258</v>
      </c>
      <c r="AA40" s="21">
        <v>13924</v>
      </c>
      <c r="AB40" s="21">
        <v>1145</v>
      </c>
      <c r="AC40" s="21">
        <v>121572</v>
      </c>
    </row>
    <row r="41" spans="1:29" s="2" customFormat="1" x14ac:dyDescent="0.3">
      <c r="A41" s="23" t="s">
        <v>402</v>
      </c>
      <c r="B41" s="24">
        <v>19521</v>
      </c>
      <c r="C41" s="24">
        <v>3579</v>
      </c>
      <c r="D41" s="24">
        <v>9520</v>
      </c>
      <c r="E41" s="24">
        <v>681</v>
      </c>
      <c r="F41" s="24">
        <v>33301</v>
      </c>
      <c r="G41" s="24">
        <v>9518</v>
      </c>
      <c r="H41" s="24">
        <v>42818</v>
      </c>
      <c r="I41" s="24">
        <v>43012</v>
      </c>
      <c r="J41" s="24">
        <v>5520</v>
      </c>
      <c r="K41" s="24">
        <v>17278</v>
      </c>
      <c r="L41" s="24">
        <v>65810</v>
      </c>
      <c r="M41" s="24">
        <v>75330</v>
      </c>
      <c r="N41" s="24">
        <v>23080</v>
      </c>
      <c r="O41" s="24">
        <v>1312</v>
      </c>
      <c r="P41" s="24">
        <v>7487</v>
      </c>
      <c r="Q41" s="24">
        <v>453</v>
      </c>
      <c r="R41" s="24">
        <v>3831</v>
      </c>
      <c r="S41" s="24">
        <v>26111</v>
      </c>
      <c r="T41" s="24">
        <v>59397</v>
      </c>
      <c r="U41" s="24">
        <v>9579</v>
      </c>
      <c r="V41" s="24">
        <v>19227</v>
      </c>
      <c r="W41" s="24">
        <v>150477</v>
      </c>
      <c r="X41" s="24">
        <v>259106</v>
      </c>
      <c r="Y41" s="24">
        <v>38025</v>
      </c>
      <c r="Z41" s="24">
        <v>5405</v>
      </c>
      <c r="AA41" s="24">
        <v>291728</v>
      </c>
      <c r="AB41" s="24">
        <v>13028</v>
      </c>
      <c r="AC41" s="24">
        <f>AVERAGE(AC35:AC40)</f>
        <v>191194</v>
      </c>
    </row>
    <row r="42" spans="1:29" s="2" customFormat="1" x14ac:dyDescent="0.3">
      <c r="A42" s="25" t="s">
        <v>406</v>
      </c>
      <c r="B42" s="26">
        <v>225771</v>
      </c>
      <c r="C42" s="26">
        <v>82768</v>
      </c>
      <c r="D42" s="26">
        <v>47977</v>
      </c>
      <c r="E42" s="26">
        <v>6976</v>
      </c>
      <c r="F42" s="26">
        <v>363488</v>
      </c>
      <c r="G42" s="26">
        <v>62787</v>
      </c>
      <c r="H42" s="26">
        <v>426279</v>
      </c>
      <c r="I42" s="26">
        <v>470573</v>
      </c>
      <c r="J42" s="26">
        <v>60395</v>
      </c>
      <c r="K42" s="26">
        <v>189028</v>
      </c>
      <c r="L42" s="26">
        <v>719997</v>
      </c>
      <c r="M42" s="26">
        <v>782793</v>
      </c>
      <c r="N42" s="26">
        <v>252503</v>
      </c>
      <c r="O42" s="26">
        <v>14348</v>
      </c>
      <c r="P42" s="26">
        <v>81917</v>
      </c>
      <c r="Q42" s="26">
        <v>4953</v>
      </c>
      <c r="R42" s="26">
        <v>41911</v>
      </c>
      <c r="S42" s="26">
        <v>285683</v>
      </c>
      <c r="T42" s="26">
        <v>649806</v>
      </c>
      <c r="U42" s="26">
        <v>104799</v>
      </c>
      <c r="V42" s="26">
        <v>210356</v>
      </c>
      <c r="W42" s="26">
        <v>1646279</v>
      </c>
      <c r="X42" s="26">
        <v>2792555</v>
      </c>
      <c r="Y42" s="26">
        <v>409817</v>
      </c>
      <c r="Z42" s="26">
        <v>58238</v>
      </c>
      <c r="AA42" s="26">
        <v>3144138</v>
      </c>
      <c r="AB42" s="26">
        <v>125003</v>
      </c>
      <c r="AC42" s="26">
        <f>AVERAGE(AC41,AC34,AC28,AC13,AC7,AC19)</f>
        <v>208158.36250000002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42"/>
  <sheetViews>
    <sheetView tabSelected="1" zoomScale="122" zoomScaleNormal="122" workbookViewId="0">
      <selection activeCell="J12" sqref="J12"/>
    </sheetView>
  </sheetViews>
  <sheetFormatPr defaultRowHeight="14.4" x14ac:dyDescent="0.3"/>
  <cols>
    <col min="1" max="1" width="22.33203125" bestFit="1" customWidth="1"/>
    <col min="2" max="2" width="7.21875" bestFit="1" customWidth="1"/>
    <col min="3" max="3" width="7.88671875" customWidth="1"/>
    <col min="4" max="4" width="13.88671875" bestFit="1" customWidth="1"/>
    <col min="5" max="5" width="15.33203125" bestFit="1" customWidth="1"/>
    <col min="6" max="6" width="19.33203125" bestFit="1" customWidth="1"/>
    <col min="7" max="7" width="13.109375" bestFit="1" customWidth="1"/>
    <col min="8" max="8" width="9.44140625" bestFit="1" customWidth="1"/>
    <col min="9" max="9" width="9.77734375" bestFit="1" customWidth="1"/>
    <col min="10" max="10" width="33.6640625" bestFit="1" customWidth="1"/>
    <col min="11" max="11" width="8.6640625" bestFit="1" customWidth="1"/>
    <col min="12" max="12" width="11.33203125" bestFit="1" customWidth="1"/>
    <col min="13" max="13" width="7" bestFit="1" customWidth="1"/>
    <col min="14" max="14" width="22.88671875" bestFit="1" customWidth="1"/>
    <col min="15" max="15" width="6.21875" bestFit="1" customWidth="1"/>
    <col min="16" max="16" width="25.6640625" bestFit="1" customWidth="1"/>
    <col min="17" max="17" width="5.44140625" bestFit="1" customWidth="1"/>
    <col min="18" max="18" width="23.5546875" bestFit="1" customWidth="1"/>
    <col min="19" max="19" width="11.5546875" bestFit="1" customWidth="1"/>
    <col min="20" max="20" width="29.21875" bestFit="1" customWidth="1"/>
    <col min="21" max="21" width="20.6640625" bestFit="1" customWidth="1"/>
    <col min="22" max="22" width="9.5546875" bestFit="1" customWidth="1"/>
    <col min="23" max="23" width="15.5546875" bestFit="1" customWidth="1"/>
    <col min="24" max="24" width="8" bestFit="1" customWidth="1"/>
    <col min="25" max="25" width="11.88671875" bestFit="1" customWidth="1"/>
    <col min="26" max="26" width="17.44140625" bestFit="1" customWidth="1"/>
    <col min="27" max="27" width="8" bestFit="1" customWidth="1"/>
    <col min="28" max="28" width="10.77734375" bestFit="1" customWidth="1"/>
    <col min="29" max="29" width="23.5546875" bestFit="1" customWidth="1"/>
  </cols>
  <sheetData>
    <row r="1" spans="1:29" x14ac:dyDescent="0.3">
      <c r="A1" s="37" t="s">
        <v>0</v>
      </c>
      <c r="B1" s="37" t="s">
        <v>1</v>
      </c>
      <c r="C1" s="37" t="s">
        <v>2</v>
      </c>
      <c r="D1" s="37" t="s">
        <v>382</v>
      </c>
      <c r="E1" s="37" t="s">
        <v>383</v>
      </c>
      <c r="F1" s="37" t="s">
        <v>384</v>
      </c>
      <c r="G1" s="37" t="s">
        <v>385</v>
      </c>
      <c r="H1" s="37" t="s">
        <v>386</v>
      </c>
      <c r="I1" s="37" t="s">
        <v>3</v>
      </c>
      <c r="J1" s="37" t="s">
        <v>387</v>
      </c>
      <c r="K1" s="37" t="s">
        <v>4</v>
      </c>
      <c r="L1" s="37" t="s">
        <v>388</v>
      </c>
      <c r="M1" s="37" t="s">
        <v>389</v>
      </c>
      <c r="N1" s="37" t="s">
        <v>410</v>
      </c>
      <c r="O1" s="38" t="s">
        <v>37</v>
      </c>
      <c r="P1" s="39" t="s">
        <v>411</v>
      </c>
      <c r="Q1" s="37" t="s">
        <v>38</v>
      </c>
      <c r="R1" s="37" t="s">
        <v>390</v>
      </c>
      <c r="S1" s="37" t="s">
        <v>391</v>
      </c>
      <c r="T1" s="37" t="s">
        <v>392</v>
      </c>
      <c r="U1" s="38" t="s">
        <v>393</v>
      </c>
      <c r="V1" s="37" t="s">
        <v>394</v>
      </c>
      <c r="W1" s="37" t="s">
        <v>395</v>
      </c>
      <c r="X1" s="37" t="s">
        <v>396</v>
      </c>
      <c r="Y1" s="39" t="s">
        <v>397</v>
      </c>
      <c r="Z1" s="37" t="s">
        <v>398</v>
      </c>
      <c r="AA1" s="37" t="s">
        <v>399</v>
      </c>
      <c r="AB1" s="37" t="s">
        <v>400</v>
      </c>
      <c r="AC1" s="37" t="s">
        <v>401</v>
      </c>
    </row>
    <row r="2" spans="1:29" x14ac:dyDescent="0.3">
      <c r="A2" s="4" t="s">
        <v>409</v>
      </c>
      <c r="B2" s="5">
        <v>0</v>
      </c>
      <c r="C2" s="5">
        <v>2049</v>
      </c>
      <c r="D2" s="5">
        <v>57</v>
      </c>
      <c r="E2" s="5">
        <v>3653</v>
      </c>
      <c r="F2" s="5">
        <v>5760</v>
      </c>
      <c r="G2" s="5">
        <v>32132</v>
      </c>
      <c r="H2" s="5">
        <v>37892</v>
      </c>
      <c r="I2" s="5">
        <v>105500</v>
      </c>
      <c r="J2" s="5">
        <v>10896</v>
      </c>
      <c r="K2" s="5">
        <v>48408</v>
      </c>
      <c r="L2" s="5">
        <v>164804</v>
      </c>
      <c r="M2" s="5">
        <v>196936</v>
      </c>
      <c r="N2" s="5">
        <v>66096</v>
      </c>
      <c r="O2" s="5">
        <v>3378</v>
      </c>
      <c r="P2" s="5">
        <v>20020</v>
      </c>
      <c r="Q2" s="5">
        <v>1213</v>
      </c>
      <c r="R2" s="5">
        <v>10461</v>
      </c>
      <c r="S2" s="5">
        <v>79406</v>
      </c>
      <c r="T2" s="5">
        <v>165001</v>
      </c>
      <c r="U2" s="5">
        <v>27318</v>
      </c>
      <c r="V2" s="5">
        <v>54648</v>
      </c>
      <c r="W2" s="5">
        <v>427541</v>
      </c>
      <c r="X2" s="5">
        <v>630236</v>
      </c>
      <c r="Y2" s="5">
        <v>100439</v>
      </c>
      <c r="Z2" s="5">
        <v>14010</v>
      </c>
      <c r="AA2" s="5">
        <v>716665</v>
      </c>
      <c r="AB2" s="5">
        <v>14934</v>
      </c>
      <c r="AC2" s="5">
        <v>479887</v>
      </c>
    </row>
    <row r="3" spans="1:29" x14ac:dyDescent="0.3">
      <c r="A3" s="4" t="s">
        <v>381</v>
      </c>
      <c r="B3" s="5">
        <v>5334</v>
      </c>
      <c r="C3" s="5">
        <v>3593</v>
      </c>
      <c r="D3" s="5">
        <v>4070</v>
      </c>
      <c r="E3" s="5">
        <v>1064</v>
      </c>
      <c r="F3" s="5">
        <v>14061</v>
      </c>
      <c r="G3" s="5">
        <v>1064</v>
      </c>
      <c r="H3" s="5">
        <v>15125</v>
      </c>
      <c r="I3" s="5">
        <v>80102</v>
      </c>
      <c r="J3" s="5">
        <v>8273</v>
      </c>
      <c r="K3" s="5">
        <v>36754</v>
      </c>
      <c r="L3" s="5">
        <v>125129</v>
      </c>
      <c r="M3" s="5">
        <v>126192</v>
      </c>
      <c r="N3" s="5">
        <v>50184</v>
      </c>
      <c r="O3" s="5">
        <v>2565</v>
      </c>
      <c r="P3" s="5">
        <v>15200</v>
      </c>
      <c r="Q3" s="5">
        <v>921</v>
      </c>
      <c r="R3" s="5">
        <v>7943</v>
      </c>
      <c r="S3" s="5">
        <v>60289</v>
      </c>
      <c r="T3" s="5">
        <v>125278</v>
      </c>
      <c r="U3" s="5">
        <v>20742</v>
      </c>
      <c r="V3" s="5">
        <v>41492</v>
      </c>
      <c r="W3" s="5">
        <v>324614</v>
      </c>
      <c r="X3" s="5">
        <v>464868</v>
      </c>
      <c r="Y3" s="5">
        <v>74085</v>
      </c>
      <c r="Z3" s="5">
        <v>10334</v>
      </c>
      <c r="AA3" s="5">
        <v>528619</v>
      </c>
      <c r="AB3" s="5">
        <v>12907</v>
      </c>
      <c r="AC3" s="5">
        <v>409559</v>
      </c>
    </row>
    <row r="4" spans="1:29" x14ac:dyDescent="0.3">
      <c r="A4" s="4" t="s">
        <v>349</v>
      </c>
      <c r="B4" s="5">
        <v>2604</v>
      </c>
      <c r="C4" s="5">
        <v>953</v>
      </c>
      <c r="D4" s="5">
        <v>3879</v>
      </c>
      <c r="E4" s="5">
        <v>432</v>
      </c>
      <c r="F4" s="5">
        <v>7868</v>
      </c>
      <c r="G4" s="5">
        <v>7048</v>
      </c>
      <c r="H4" s="5">
        <v>14916</v>
      </c>
      <c r="I4" s="5">
        <v>12447</v>
      </c>
      <c r="J4" s="5">
        <v>1285</v>
      </c>
      <c r="K4" s="5">
        <v>5711</v>
      </c>
      <c r="L4" s="5">
        <v>19444</v>
      </c>
      <c r="M4" s="5">
        <v>26492</v>
      </c>
      <c r="N4" s="5">
        <v>7798</v>
      </c>
      <c r="O4" s="5">
        <v>399</v>
      </c>
      <c r="P4" s="5">
        <v>2362</v>
      </c>
      <c r="Q4" s="5">
        <v>143</v>
      </c>
      <c r="R4" s="5">
        <v>1234</v>
      </c>
      <c r="S4" s="5">
        <v>9368</v>
      </c>
      <c r="T4" s="5">
        <v>19467</v>
      </c>
      <c r="U4" s="5">
        <v>3223</v>
      </c>
      <c r="V4" s="5">
        <v>6447</v>
      </c>
      <c r="W4" s="5">
        <v>50442</v>
      </c>
      <c r="X4" s="5">
        <v>84801</v>
      </c>
      <c r="Y4" s="5">
        <v>13515</v>
      </c>
      <c r="Z4" s="5">
        <v>1885</v>
      </c>
      <c r="AA4" s="5">
        <v>96431</v>
      </c>
      <c r="AB4" s="5">
        <v>2921</v>
      </c>
      <c r="AC4" s="5">
        <v>330111</v>
      </c>
    </row>
    <row r="5" spans="1:29" x14ac:dyDescent="0.3">
      <c r="A5" s="4" t="s">
        <v>350</v>
      </c>
      <c r="B5" s="5">
        <v>5469</v>
      </c>
      <c r="C5" s="5">
        <v>573</v>
      </c>
      <c r="D5" s="5">
        <v>1826</v>
      </c>
      <c r="E5" s="5">
        <v>611</v>
      </c>
      <c r="F5" s="5">
        <v>8479</v>
      </c>
      <c r="G5" s="5">
        <v>548</v>
      </c>
      <c r="H5" s="5">
        <v>9027</v>
      </c>
      <c r="I5" s="5">
        <v>5250</v>
      </c>
      <c r="J5" s="5">
        <v>542</v>
      </c>
      <c r="K5" s="5">
        <v>2409</v>
      </c>
      <c r="L5" s="5">
        <v>8201</v>
      </c>
      <c r="M5" s="5">
        <v>8749</v>
      </c>
      <c r="N5" s="5">
        <v>3289</v>
      </c>
      <c r="O5" s="5">
        <v>168</v>
      </c>
      <c r="P5" s="5">
        <v>996</v>
      </c>
      <c r="Q5" s="5">
        <v>60</v>
      </c>
      <c r="R5" s="5">
        <v>521</v>
      </c>
      <c r="S5" s="5">
        <v>3952</v>
      </c>
      <c r="T5" s="5">
        <v>8211</v>
      </c>
      <c r="U5" s="5">
        <v>1359</v>
      </c>
      <c r="V5" s="5">
        <v>2719</v>
      </c>
      <c r="W5" s="5">
        <v>21276</v>
      </c>
      <c r="X5" s="5">
        <v>38504</v>
      </c>
      <c r="Y5" s="5">
        <v>6136</v>
      </c>
      <c r="Z5" s="5">
        <v>856</v>
      </c>
      <c r="AA5" s="5">
        <v>43784</v>
      </c>
      <c r="AB5" s="5">
        <v>1743</v>
      </c>
      <c r="AC5" s="5">
        <v>251180</v>
      </c>
    </row>
    <row r="6" spans="1:29" x14ac:dyDescent="0.3">
      <c r="A6" s="4" t="s">
        <v>351</v>
      </c>
      <c r="B6" s="5">
        <v>3859</v>
      </c>
      <c r="C6" s="5">
        <v>484</v>
      </c>
      <c r="D6" s="5">
        <v>4191</v>
      </c>
      <c r="E6" s="5">
        <v>292</v>
      </c>
      <c r="F6" s="5">
        <v>8825</v>
      </c>
      <c r="G6" s="5">
        <v>1423</v>
      </c>
      <c r="H6" s="5">
        <v>10249</v>
      </c>
      <c r="I6" s="5">
        <v>2286</v>
      </c>
      <c r="J6" s="5">
        <v>236</v>
      </c>
      <c r="K6" s="5">
        <v>1049</v>
      </c>
      <c r="L6" s="5">
        <v>3570</v>
      </c>
      <c r="M6" s="5">
        <v>4994</v>
      </c>
      <c r="N6" s="5">
        <v>1432</v>
      </c>
      <c r="O6" s="5">
        <v>73</v>
      </c>
      <c r="P6" s="5">
        <v>434</v>
      </c>
      <c r="Q6" s="5">
        <v>26</v>
      </c>
      <c r="R6" s="5">
        <v>227</v>
      </c>
      <c r="S6" s="5">
        <v>1720</v>
      </c>
      <c r="T6" s="5">
        <v>3575</v>
      </c>
      <c r="U6" s="5">
        <v>592</v>
      </c>
      <c r="V6" s="5">
        <v>1184</v>
      </c>
      <c r="W6" s="5">
        <v>9263</v>
      </c>
      <c r="X6" s="5">
        <v>23082</v>
      </c>
      <c r="Y6" s="5">
        <v>3678</v>
      </c>
      <c r="Z6" s="5">
        <v>513</v>
      </c>
      <c r="AA6" s="5">
        <v>26247</v>
      </c>
      <c r="AB6" s="5">
        <v>912</v>
      </c>
      <c r="AC6" s="5">
        <v>287659</v>
      </c>
    </row>
    <row r="7" spans="1:29" s="2" customFormat="1" x14ac:dyDescent="0.3">
      <c r="A7" s="18" t="s">
        <v>405</v>
      </c>
      <c r="B7" s="19">
        <v>17266</v>
      </c>
      <c r="C7" s="19">
        <v>7652</v>
      </c>
      <c r="D7" s="19">
        <v>14023</v>
      </c>
      <c r="E7" s="19">
        <v>6052</v>
      </c>
      <c r="F7" s="19">
        <v>44993</v>
      </c>
      <c r="G7" s="19">
        <v>42215</v>
      </c>
      <c r="H7" s="19">
        <v>87209</v>
      </c>
      <c r="I7" s="19">
        <v>205585</v>
      </c>
      <c r="J7" s="19">
        <v>21232</v>
      </c>
      <c r="K7" s="19">
        <v>94331</v>
      </c>
      <c r="L7" s="19">
        <v>321148</v>
      </c>
      <c r="M7" s="19">
        <v>363363</v>
      </c>
      <c r="N7" s="19">
        <v>128799</v>
      </c>
      <c r="O7" s="19">
        <v>6583</v>
      </c>
      <c r="P7" s="19">
        <v>39012</v>
      </c>
      <c r="Q7" s="19">
        <v>2363</v>
      </c>
      <c r="R7" s="19">
        <v>20386</v>
      </c>
      <c r="S7" s="19">
        <v>154735</v>
      </c>
      <c r="T7" s="19">
        <v>321532</v>
      </c>
      <c r="U7" s="19">
        <v>53234</v>
      </c>
      <c r="V7" s="19">
        <v>106490</v>
      </c>
      <c r="W7" s="19">
        <v>833136</v>
      </c>
      <c r="X7" s="19">
        <v>1241491</v>
      </c>
      <c r="Y7" s="19">
        <v>197853</v>
      </c>
      <c r="Z7" s="19">
        <v>27598</v>
      </c>
      <c r="AA7" s="19">
        <v>1411746</v>
      </c>
      <c r="AB7" s="19">
        <v>33417</v>
      </c>
      <c r="AC7" s="19">
        <f>AVERAGE(AC2:AC6)</f>
        <v>351679.2</v>
      </c>
    </row>
    <row r="8" spans="1:29" x14ac:dyDescent="0.3">
      <c r="A8" s="27" t="s">
        <v>352</v>
      </c>
      <c r="B8" s="28">
        <v>20416</v>
      </c>
      <c r="C8" s="28">
        <v>6149</v>
      </c>
      <c r="D8" s="28">
        <v>922</v>
      </c>
      <c r="E8" s="28">
        <v>8</v>
      </c>
      <c r="F8" s="28">
        <v>27495</v>
      </c>
      <c r="G8" s="28">
        <v>25</v>
      </c>
      <c r="H8" s="28">
        <v>27521</v>
      </c>
      <c r="I8" s="28">
        <v>23201</v>
      </c>
      <c r="J8" s="28">
        <v>2396</v>
      </c>
      <c r="K8" s="28">
        <v>10646</v>
      </c>
      <c r="L8" s="28">
        <v>36243</v>
      </c>
      <c r="M8" s="28">
        <v>36268</v>
      </c>
      <c r="N8" s="28">
        <v>14536</v>
      </c>
      <c r="O8" s="28">
        <v>743</v>
      </c>
      <c r="P8" s="28">
        <v>4403</v>
      </c>
      <c r="Q8" s="28">
        <v>267</v>
      </c>
      <c r="R8" s="28">
        <v>2301</v>
      </c>
      <c r="S8" s="28">
        <v>17463</v>
      </c>
      <c r="T8" s="28">
        <v>36286</v>
      </c>
      <c r="U8" s="28">
        <v>6008</v>
      </c>
      <c r="V8" s="28">
        <v>12018</v>
      </c>
      <c r="W8" s="28">
        <v>94023</v>
      </c>
      <c r="X8" s="28">
        <v>157787</v>
      </c>
      <c r="Y8" s="28">
        <v>25146</v>
      </c>
      <c r="Z8" s="28">
        <v>3508</v>
      </c>
      <c r="AA8" s="28">
        <v>179425</v>
      </c>
      <c r="AB8" s="28">
        <v>6823</v>
      </c>
      <c r="AC8" s="28">
        <v>262980</v>
      </c>
    </row>
    <row r="9" spans="1:29" x14ac:dyDescent="0.3">
      <c r="A9" s="27" t="s">
        <v>353</v>
      </c>
      <c r="B9" s="28">
        <v>6150</v>
      </c>
      <c r="C9" s="28">
        <v>1784</v>
      </c>
      <c r="D9" s="28">
        <v>477</v>
      </c>
      <c r="E9" s="28">
        <v>30</v>
      </c>
      <c r="F9" s="28">
        <v>8442</v>
      </c>
      <c r="G9" s="28">
        <v>27</v>
      </c>
      <c r="H9" s="28">
        <v>8469</v>
      </c>
      <c r="I9" s="28">
        <v>5675</v>
      </c>
      <c r="J9" s="28">
        <v>586</v>
      </c>
      <c r="K9" s="28">
        <v>2604</v>
      </c>
      <c r="L9" s="28">
        <v>8865</v>
      </c>
      <c r="M9" s="28">
        <v>8892</v>
      </c>
      <c r="N9" s="28">
        <v>3555</v>
      </c>
      <c r="O9" s="28">
        <v>182</v>
      </c>
      <c r="P9" s="28">
        <v>1077</v>
      </c>
      <c r="Q9" s="28">
        <v>65</v>
      </c>
      <c r="R9" s="28">
        <v>563</v>
      </c>
      <c r="S9" s="28">
        <v>4271</v>
      </c>
      <c r="T9" s="28">
        <v>8875</v>
      </c>
      <c r="U9" s="28">
        <v>1469</v>
      </c>
      <c r="V9" s="28">
        <v>2940</v>
      </c>
      <c r="W9" s="28">
        <v>22997</v>
      </c>
      <c r="X9" s="28">
        <v>40331</v>
      </c>
      <c r="Y9" s="28">
        <v>6427</v>
      </c>
      <c r="Z9" s="28">
        <v>897</v>
      </c>
      <c r="AA9" s="28">
        <v>45862</v>
      </c>
      <c r="AB9" s="28">
        <v>2248</v>
      </c>
      <c r="AC9" s="28">
        <v>204045</v>
      </c>
    </row>
    <row r="10" spans="1:29" x14ac:dyDescent="0.3">
      <c r="A10" s="27" t="s">
        <v>354</v>
      </c>
      <c r="B10" s="28">
        <v>3930</v>
      </c>
      <c r="C10" s="28">
        <v>1213</v>
      </c>
      <c r="D10" s="28">
        <v>233</v>
      </c>
      <c r="E10" s="28">
        <v>3</v>
      </c>
      <c r="F10" s="28">
        <v>5378</v>
      </c>
      <c r="G10" s="28">
        <v>28</v>
      </c>
      <c r="H10" s="28">
        <v>5407</v>
      </c>
      <c r="I10" s="28">
        <v>2869</v>
      </c>
      <c r="J10" s="28">
        <v>296</v>
      </c>
      <c r="K10" s="28">
        <v>1316</v>
      </c>
      <c r="L10" s="28">
        <v>4481</v>
      </c>
      <c r="M10" s="28">
        <v>4510</v>
      </c>
      <c r="N10" s="28">
        <v>1797</v>
      </c>
      <c r="O10" s="28">
        <v>92</v>
      </c>
      <c r="P10" s="28">
        <v>544</v>
      </c>
      <c r="Q10" s="28">
        <v>33</v>
      </c>
      <c r="R10" s="28">
        <v>284</v>
      </c>
      <c r="S10" s="28">
        <v>2159</v>
      </c>
      <c r="T10" s="28">
        <v>4486</v>
      </c>
      <c r="U10" s="28">
        <v>743</v>
      </c>
      <c r="V10" s="28">
        <v>1486</v>
      </c>
      <c r="W10" s="28">
        <v>11625</v>
      </c>
      <c r="X10" s="28">
        <v>21513</v>
      </c>
      <c r="Y10" s="28">
        <v>3428</v>
      </c>
      <c r="Z10" s="28">
        <v>478</v>
      </c>
      <c r="AA10" s="28">
        <v>24463</v>
      </c>
      <c r="AB10" s="28">
        <v>1780</v>
      </c>
      <c r="AC10" s="28">
        <v>137441</v>
      </c>
    </row>
    <row r="11" spans="1:29" x14ac:dyDescent="0.3">
      <c r="A11" s="27" t="s">
        <v>355</v>
      </c>
      <c r="B11" s="28">
        <v>12251</v>
      </c>
      <c r="C11" s="28">
        <v>2862</v>
      </c>
      <c r="D11" s="28">
        <v>883</v>
      </c>
      <c r="E11" s="28">
        <v>70</v>
      </c>
      <c r="F11" s="28">
        <v>16067</v>
      </c>
      <c r="G11" s="28">
        <v>68</v>
      </c>
      <c r="H11" s="28">
        <v>16135</v>
      </c>
      <c r="I11" s="28">
        <v>11287</v>
      </c>
      <c r="J11" s="28">
        <v>1166</v>
      </c>
      <c r="K11" s="28">
        <v>5179</v>
      </c>
      <c r="L11" s="28">
        <v>17632</v>
      </c>
      <c r="M11" s="28">
        <v>17700</v>
      </c>
      <c r="N11" s="28">
        <v>7072</v>
      </c>
      <c r="O11" s="28">
        <v>361</v>
      </c>
      <c r="P11" s="28">
        <v>2142</v>
      </c>
      <c r="Q11" s="28">
        <v>130</v>
      </c>
      <c r="R11" s="28">
        <v>1119</v>
      </c>
      <c r="S11" s="28">
        <v>8496</v>
      </c>
      <c r="T11" s="28">
        <v>17653</v>
      </c>
      <c r="U11" s="28">
        <v>2923</v>
      </c>
      <c r="V11" s="28">
        <v>5847</v>
      </c>
      <c r="W11" s="28">
        <v>45743</v>
      </c>
      <c r="X11" s="28">
        <v>79510</v>
      </c>
      <c r="Y11" s="28">
        <v>12671</v>
      </c>
      <c r="Z11" s="28">
        <v>1767</v>
      </c>
      <c r="AA11" s="28">
        <v>90414</v>
      </c>
      <c r="AB11" s="28">
        <v>4660</v>
      </c>
      <c r="AC11" s="28">
        <v>194038</v>
      </c>
    </row>
    <row r="12" spans="1:29" x14ac:dyDescent="0.3">
      <c r="A12" s="27" t="s">
        <v>380</v>
      </c>
      <c r="B12" s="28">
        <v>17469</v>
      </c>
      <c r="C12" s="28">
        <v>8631</v>
      </c>
      <c r="D12" s="28">
        <v>1300</v>
      </c>
      <c r="E12" s="28">
        <v>30</v>
      </c>
      <c r="F12" s="28">
        <v>27430</v>
      </c>
      <c r="G12" s="28">
        <v>344</v>
      </c>
      <c r="H12" s="28">
        <v>27775</v>
      </c>
      <c r="I12" s="28">
        <v>13428</v>
      </c>
      <c r="J12" s="28">
        <v>1387</v>
      </c>
      <c r="K12" s="28">
        <v>6161</v>
      </c>
      <c r="L12" s="28">
        <v>20976</v>
      </c>
      <c r="M12" s="28">
        <v>21321</v>
      </c>
      <c r="N12" s="28">
        <v>8413</v>
      </c>
      <c r="O12" s="28">
        <v>430</v>
      </c>
      <c r="P12" s="28">
        <v>2548</v>
      </c>
      <c r="Q12" s="28">
        <v>154</v>
      </c>
      <c r="R12" s="28">
        <v>1332</v>
      </c>
      <c r="S12" s="28">
        <v>10107</v>
      </c>
      <c r="T12" s="28">
        <v>21002</v>
      </c>
      <c r="U12" s="28">
        <v>3477</v>
      </c>
      <c r="V12" s="28">
        <v>6956</v>
      </c>
      <c r="W12" s="28">
        <v>54418</v>
      </c>
      <c r="X12" s="28">
        <v>103169</v>
      </c>
      <c r="Y12" s="28">
        <v>16442</v>
      </c>
      <c r="Z12" s="28">
        <v>2293</v>
      </c>
      <c r="AA12" s="28">
        <v>117317</v>
      </c>
      <c r="AB12" s="28">
        <v>4928</v>
      </c>
      <c r="AC12" s="28">
        <v>238058</v>
      </c>
    </row>
    <row r="13" spans="1:29" s="2" customFormat="1" x14ac:dyDescent="0.3">
      <c r="A13" s="7" t="s">
        <v>408</v>
      </c>
      <c r="B13" s="8">
        <v>60216</v>
      </c>
      <c r="C13" s="8">
        <v>20639</v>
      </c>
      <c r="D13" s="8">
        <v>3815</v>
      </c>
      <c r="E13" s="8">
        <v>141</v>
      </c>
      <c r="F13" s="8">
        <v>84812</v>
      </c>
      <c r="G13" s="8">
        <v>492</v>
      </c>
      <c r="H13" s="8">
        <v>85307</v>
      </c>
      <c r="I13" s="8">
        <v>56460</v>
      </c>
      <c r="J13" s="8">
        <v>5831</v>
      </c>
      <c r="K13" s="8">
        <v>25906</v>
      </c>
      <c r="L13" s="8">
        <v>88197</v>
      </c>
      <c r="M13" s="8">
        <v>88691</v>
      </c>
      <c r="N13" s="8">
        <v>35373</v>
      </c>
      <c r="O13" s="8">
        <v>1808</v>
      </c>
      <c r="P13" s="8">
        <v>10714</v>
      </c>
      <c r="Q13" s="8">
        <v>649</v>
      </c>
      <c r="R13" s="8">
        <v>5599</v>
      </c>
      <c r="S13" s="8">
        <v>42496</v>
      </c>
      <c r="T13" s="8">
        <v>88302</v>
      </c>
      <c r="U13" s="8">
        <v>14620</v>
      </c>
      <c r="V13" s="8">
        <v>29247</v>
      </c>
      <c r="W13" s="8">
        <v>228806</v>
      </c>
      <c r="X13" s="8">
        <v>402310</v>
      </c>
      <c r="Y13" s="8">
        <v>64114</v>
      </c>
      <c r="Z13" s="8">
        <v>8943</v>
      </c>
      <c r="AA13" s="8">
        <v>457481</v>
      </c>
      <c r="AB13" s="8">
        <v>20439</v>
      </c>
      <c r="AC13" s="8">
        <f>AVERAGE(AC8:AC12)</f>
        <v>207312.4</v>
      </c>
    </row>
    <row r="14" spans="1:29" x14ac:dyDescent="0.3">
      <c r="A14" s="9" t="s">
        <v>356</v>
      </c>
      <c r="B14" s="10">
        <v>12385</v>
      </c>
      <c r="C14" s="10">
        <v>11968</v>
      </c>
      <c r="D14" s="10">
        <v>3201</v>
      </c>
      <c r="E14" s="10">
        <v>72</v>
      </c>
      <c r="F14" s="10">
        <v>27626</v>
      </c>
      <c r="G14" s="10">
        <v>81</v>
      </c>
      <c r="H14" s="10">
        <v>27708</v>
      </c>
      <c r="I14" s="10">
        <v>60551</v>
      </c>
      <c r="J14" s="10">
        <v>6253</v>
      </c>
      <c r="K14" s="10">
        <v>27783</v>
      </c>
      <c r="L14" s="10">
        <v>94588</v>
      </c>
      <c r="M14" s="10">
        <v>94669</v>
      </c>
      <c r="N14" s="10">
        <v>37935</v>
      </c>
      <c r="O14" s="10">
        <v>1939</v>
      </c>
      <c r="P14" s="10">
        <v>11490</v>
      </c>
      <c r="Q14" s="10">
        <v>696</v>
      </c>
      <c r="R14" s="10">
        <v>6004</v>
      </c>
      <c r="S14" s="10">
        <v>45574</v>
      </c>
      <c r="T14" s="10">
        <v>94701</v>
      </c>
      <c r="U14" s="10">
        <v>15679</v>
      </c>
      <c r="V14" s="10">
        <v>31365</v>
      </c>
      <c r="W14" s="10">
        <v>245385</v>
      </c>
      <c r="X14" s="10">
        <v>367681</v>
      </c>
      <c r="Y14" s="10">
        <v>58596</v>
      </c>
      <c r="Z14" s="10">
        <v>8173</v>
      </c>
      <c r="AA14" s="10">
        <v>418104</v>
      </c>
      <c r="AB14" s="10">
        <v>10786</v>
      </c>
      <c r="AC14" s="10">
        <v>387637</v>
      </c>
    </row>
    <row r="15" spans="1:29" x14ac:dyDescent="0.3">
      <c r="A15" s="9" t="s">
        <v>357</v>
      </c>
      <c r="B15" s="10">
        <v>7765</v>
      </c>
      <c r="C15" s="10">
        <v>6100</v>
      </c>
      <c r="D15" s="10">
        <v>1672</v>
      </c>
      <c r="E15" s="10">
        <v>63</v>
      </c>
      <c r="F15" s="10">
        <v>15600</v>
      </c>
      <c r="G15" s="10">
        <v>130</v>
      </c>
      <c r="H15" s="10">
        <v>15730</v>
      </c>
      <c r="I15" s="10">
        <v>9915</v>
      </c>
      <c r="J15" s="10">
        <v>1024</v>
      </c>
      <c r="K15" s="10">
        <v>4550</v>
      </c>
      <c r="L15" s="10">
        <v>15489</v>
      </c>
      <c r="M15" s="10">
        <v>15620</v>
      </c>
      <c r="N15" s="10">
        <v>6212</v>
      </c>
      <c r="O15" s="10">
        <v>318</v>
      </c>
      <c r="P15" s="10">
        <v>1882</v>
      </c>
      <c r="Q15" s="10">
        <v>114</v>
      </c>
      <c r="R15" s="10">
        <v>983</v>
      </c>
      <c r="S15" s="10">
        <v>7463</v>
      </c>
      <c r="T15" s="10">
        <v>15508</v>
      </c>
      <c r="U15" s="10">
        <v>2568</v>
      </c>
      <c r="V15" s="10">
        <v>5136</v>
      </c>
      <c r="W15" s="10">
        <v>40183</v>
      </c>
      <c r="X15" s="10">
        <v>71402</v>
      </c>
      <c r="Y15" s="10">
        <v>11379</v>
      </c>
      <c r="Z15" s="10">
        <v>1587</v>
      </c>
      <c r="AA15" s="10">
        <v>81194</v>
      </c>
      <c r="AB15" s="10">
        <v>3253</v>
      </c>
      <c r="AC15" s="10">
        <v>249561</v>
      </c>
    </row>
    <row r="16" spans="1:29" x14ac:dyDescent="0.3">
      <c r="A16" s="9" t="s">
        <v>358</v>
      </c>
      <c r="B16" s="10">
        <v>10009</v>
      </c>
      <c r="C16" s="10">
        <v>7765</v>
      </c>
      <c r="D16" s="10">
        <v>3039</v>
      </c>
      <c r="E16" s="10">
        <v>56</v>
      </c>
      <c r="F16" s="10">
        <v>20869</v>
      </c>
      <c r="G16" s="10">
        <v>29</v>
      </c>
      <c r="H16" s="10">
        <v>20898</v>
      </c>
      <c r="I16" s="10">
        <v>9415</v>
      </c>
      <c r="J16" s="10">
        <v>972</v>
      </c>
      <c r="K16" s="10">
        <v>4320</v>
      </c>
      <c r="L16" s="10">
        <v>14707</v>
      </c>
      <c r="M16" s="10">
        <v>14736</v>
      </c>
      <c r="N16" s="10">
        <v>5898</v>
      </c>
      <c r="O16" s="10">
        <v>301</v>
      </c>
      <c r="P16" s="10">
        <v>1787</v>
      </c>
      <c r="Q16" s="10">
        <v>108</v>
      </c>
      <c r="R16" s="10">
        <v>934</v>
      </c>
      <c r="S16" s="10">
        <v>7086</v>
      </c>
      <c r="T16" s="10">
        <v>14724</v>
      </c>
      <c r="U16" s="10">
        <v>2438</v>
      </c>
      <c r="V16" s="10">
        <v>4877</v>
      </c>
      <c r="W16" s="10">
        <v>38153</v>
      </c>
      <c r="X16" s="10">
        <v>73758</v>
      </c>
      <c r="Y16" s="10">
        <v>11755</v>
      </c>
      <c r="Z16" s="10">
        <v>1640</v>
      </c>
      <c r="AA16" s="10">
        <v>83873</v>
      </c>
      <c r="AB16" s="10">
        <v>3083</v>
      </c>
      <c r="AC16" s="10">
        <v>272022</v>
      </c>
    </row>
    <row r="17" spans="1:29" x14ac:dyDescent="0.3">
      <c r="A17" s="9" t="s">
        <v>359</v>
      </c>
      <c r="B17" s="10">
        <v>11684</v>
      </c>
      <c r="C17" s="10">
        <v>7403</v>
      </c>
      <c r="D17" s="10">
        <v>1829</v>
      </c>
      <c r="E17" s="10">
        <v>34</v>
      </c>
      <c r="F17" s="10">
        <v>20950</v>
      </c>
      <c r="G17" s="10">
        <v>205</v>
      </c>
      <c r="H17" s="10">
        <v>21155</v>
      </c>
      <c r="I17" s="10">
        <v>15322</v>
      </c>
      <c r="J17" s="10">
        <v>1582</v>
      </c>
      <c r="K17" s="10">
        <v>7030</v>
      </c>
      <c r="L17" s="10">
        <v>23934</v>
      </c>
      <c r="M17" s="10">
        <v>24139</v>
      </c>
      <c r="N17" s="10">
        <v>9599</v>
      </c>
      <c r="O17" s="10">
        <v>491</v>
      </c>
      <c r="P17" s="10">
        <v>2907</v>
      </c>
      <c r="Q17" s="10">
        <v>176</v>
      </c>
      <c r="R17" s="10">
        <v>1519</v>
      </c>
      <c r="S17" s="10">
        <v>11532</v>
      </c>
      <c r="T17" s="10">
        <v>23963</v>
      </c>
      <c r="U17" s="10">
        <v>3967</v>
      </c>
      <c r="V17" s="10">
        <v>7936</v>
      </c>
      <c r="W17" s="10">
        <v>62092</v>
      </c>
      <c r="X17" s="10">
        <v>107181</v>
      </c>
      <c r="Y17" s="10">
        <v>17081</v>
      </c>
      <c r="Z17" s="10">
        <v>2383</v>
      </c>
      <c r="AA17" s="10">
        <v>121880</v>
      </c>
      <c r="AB17" s="10">
        <v>4760</v>
      </c>
      <c r="AC17" s="10">
        <v>256024</v>
      </c>
    </row>
    <row r="18" spans="1:29" x14ac:dyDescent="0.3">
      <c r="A18" s="9" t="s">
        <v>360</v>
      </c>
      <c r="B18" s="10">
        <v>7136</v>
      </c>
      <c r="C18" s="10">
        <v>6148</v>
      </c>
      <c r="D18" s="10">
        <v>1586</v>
      </c>
      <c r="E18" s="10">
        <v>38</v>
      </c>
      <c r="F18" s="10">
        <v>14907</v>
      </c>
      <c r="G18" s="10">
        <v>84</v>
      </c>
      <c r="H18" s="10">
        <v>14991</v>
      </c>
      <c r="I18" s="10">
        <v>16751</v>
      </c>
      <c r="J18" s="10">
        <v>1730</v>
      </c>
      <c r="K18" s="10">
        <v>7686</v>
      </c>
      <c r="L18" s="10">
        <v>26167</v>
      </c>
      <c r="M18" s="10">
        <v>26251</v>
      </c>
      <c r="N18" s="10">
        <v>10495</v>
      </c>
      <c r="O18" s="10">
        <v>536</v>
      </c>
      <c r="P18" s="10">
        <v>3179</v>
      </c>
      <c r="Q18" s="10">
        <v>193</v>
      </c>
      <c r="R18" s="10">
        <v>1661</v>
      </c>
      <c r="S18" s="10">
        <v>12608</v>
      </c>
      <c r="T18" s="10">
        <v>26198</v>
      </c>
      <c r="U18" s="10">
        <v>4337</v>
      </c>
      <c r="V18" s="10">
        <v>8677</v>
      </c>
      <c r="W18" s="10">
        <v>67884</v>
      </c>
      <c r="X18" s="10">
        <v>109042</v>
      </c>
      <c r="Y18" s="10">
        <v>17378</v>
      </c>
      <c r="Z18" s="10">
        <v>2424</v>
      </c>
      <c r="AA18" s="10">
        <v>123996</v>
      </c>
      <c r="AB18" s="10">
        <v>4270</v>
      </c>
      <c r="AC18" s="10">
        <v>290411</v>
      </c>
    </row>
    <row r="19" spans="1:29" s="2" customFormat="1" x14ac:dyDescent="0.3">
      <c r="A19" s="12" t="s">
        <v>404</v>
      </c>
      <c r="B19" s="13">
        <v>48979</v>
      </c>
      <c r="C19" s="13">
        <v>39384</v>
      </c>
      <c r="D19" s="13">
        <v>11327</v>
      </c>
      <c r="E19" s="13">
        <v>263</v>
      </c>
      <c r="F19" s="13">
        <v>99952</v>
      </c>
      <c r="G19" s="13">
        <v>529</v>
      </c>
      <c r="H19" s="13">
        <v>100482</v>
      </c>
      <c r="I19" s="13">
        <v>111954</v>
      </c>
      <c r="J19" s="13">
        <v>11561</v>
      </c>
      <c r="K19" s="13">
        <v>51369</v>
      </c>
      <c r="L19" s="13">
        <v>174885</v>
      </c>
      <c r="M19" s="13">
        <v>175415</v>
      </c>
      <c r="N19" s="13">
        <v>70139</v>
      </c>
      <c r="O19" s="13">
        <v>3585</v>
      </c>
      <c r="P19" s="13">
        <v>21245</v>
      </c>
      <c r="Q19" s="13">
        <v>1287</v>
      </c>
      <c r="R19" s="13">
        <v>11101</v>
      </c>
      <c r="S19" s="13">
        <v>84263</v>
      </c>
      <c r="T19" s="13">
        <v>175094</v>
      </c>
      <c r="U19" s="13">
        <v>28989</v>
      </c>
      <c r="V19" s="13">
        <v>57991</v>
      </c>
      <c r="W19" s="13">
        <v>453697</v>
      </c>
      <c r="X19" s="13">
        <v>729064</v>
      </c>
      <c r="Y19" s="13">
        <v>116189</v>
      </c>
      <c r="Z19" s="13">
        <v>16207</v>
      </c>
      <c r="AA19" s="13">
        <v>829047</v>
      </c>
      <c r="AB19" s="13">
        <v>26152</v>
      </c>
      <c r="AC19" s="13">
        <f>AVERAGE(AC14:AC18)</f>
        <v>291131</v>
      </c>
    </row>
    <row r="20" spans="1:29" x14ac:dyDescent="0.3">
      <c r="A20" s="31" t="s">
        <v>361</v>
      </c>
      <c r="B20" s="32">
        <v>6301</v>
      </c>
      <c r="C20" s="32">
        <v>3065</v>
      </c>
      <c r="D20" s="32">
        <v>1629</v>
      </c>
      <c r="E20" s="32">
        <v>62</v>
      </c>
      <c r="F20" s="32">
        <v>11057</v>
      </c>
      <c r="G20" s="32">
        <v>587</v>
      </c>
      <c r="H20" s="32">
        <v>11645</v>
      </c>
      <c r="I20" s="32">
        <v>13401</v>
      </c>
      <c r="J20" s="32">
        <v>1384</v>
      </c>
      <c r="K20" s="32">
        <v>6149</v>
      </c>
      <c r="L20" s="32">
        <v>20934</v>
      </c>
      <c r="M20" s="32">
        <v>21522</v>
      </c>
      <c r="N20" s="32">
        <v>8396</v>
      </c>
      <c r="O20" s="32">
        <v>429</v>
      </c>
      <c r="P20" s="32">
        <v>2543</v>
      </c>
      <c r="Q20" s="32">
        <v>154</v>
      </c>
      <c r="R20" s="32">
        <v>1329</v>
      </c>
      <c r="S20" s="32">
        <v>10087</v>
      </c>
      <c r="T20" s="32">
        <v>20960</v>
      </c>
      <c r="U20" s="32">
        <v>3470</v>
      </c>
      <c r="V20" s="32">
        <v>6942</v>
      </c>
      <c r="W20" s="32">
        <v>54309</v>
      </c>
      <c r="X20" s="32">
        <v>86888</v>
      </c>
      <c r="Y20" s="32">
        <v>13847</v>
      </c>
      <c r="Z20" s="32">
        <v>1931</v>
      </c>
      <c r="AA20" s="32">
        <v>98804</v>
      </c>
      <c r="AB20" s="32">
        <v>4142</v>
      </c>
      <c r="AC20" s="32">
        <v>238563</v>
      </c>
    </row>
    <row r="21" spans="1:29" x14ac:dyDescent="0.3">
      <c r="A21" s="31" t="s">
        <v>362</v>
      </c>
      <c r="B21" s="32">
        <v>8003</v>
      </c>
      <c r="C21" s="32">
        <v>1122</v>
      </c>
      <c r="D21" s="32">
        <v>2097</v>
      </c>
      <c r="E21" s="32">
        <v>54</v>
      </c>
      <c r="F21" s="32">
        <v>11276</v>
      </c>
      <c r="G21" s="32">
        <v>131</v>
      </c>
      <c r="H21" s="32">
        <v>11407</v>
      </c>
      <c r="I21" s="32">
        <v>4345</v>
      </c>
      <c r="J21" s="32">
        <v>449</v>
      </c>
      <c r="K21" s="32">
        <v>1994</v>
      </c>
      <c r="L21" s="32">
        <v>6788</v>
      </c>
      <c r="M21" s="32">
        <v>6918</v>
      </c>
      <c r="N21" s="32">
        <v>2722</v>
      </c>
      <c r="O21" s="32">
        <v>139</v>
      </c>
      <c r="P21" s="32">
        <v>825</v>
      </c>
      <c r="Q21" s="32">
        <v>50</v>
      </c>
      <c r="R21" s="32">
        <v>431</v>
      </c>
      <c r="S21" s="32">
        <v>3270</v>
      </c>
      <c r="T21" s="32">
        <v>6796</v>
      </c>
      <c r="U21" s="32">
        <v>1125</v>
      </c>
      <c r="V21" s="32">
        <v>2251</v>
      </c>
      <c r="W21" s="32">
        <v>17608</v>
      </c>
      <c r="X21" s="32">
        <v>35803</v>
      </c>
      <c r="Y21" s="32">
        <v>5706</v>
      </c>
      <c r="Z21" s="32">
        <v>796</v>
      </c>
      <c r="AA21" s="32">
        <v>40712</v>
      </c>
      <c r="AB21" s="32">
        <v>2123</v>
      </c>
      <c r="AC21" s="32">
        <v>191795</v>
      </c>
    </row>
    <row r="22" spans="1:29" x14ac:dyDescent="0.3">
      <c r="A22" s="31" t="s">
        <v>363</v>
      </c>
      <c r="B22" s="32">
        <v>7122</v>
      </c>
      <c r="C22" s="32">
        <v>1065</v>
      </c>
      <c r="D22" s="32">
        <v>386</v>
      </c>
      <c r="E22" s="32">
        <v>26</v>
      </c>
      <c r="F22" s="32">
        <v>8600</v>
      </c>
      <c r="G22" s="32">
        <v>1639</v>
      </c>
      <c r="H22" s="32">
        <v>10239</v>
      </c>
      <c r="I22" s="32">
        <v>4126</v>
      </c>
      <c r="J22" s="32">
        <v>426</v>
      </c>
      <c r="K22" s="32">
        <v>1893</v>
      </c>
      <c r="L22" s="32">
        <v>6445</v>
      </c>
      <c r="M22" s="32">
        <v>8084</v>
      </c>
      <c r="N22" s="32">
        <v>2585</v>
      </c>
      <c r="O22" s="32">
        <v>132</v>
      </c>
      <c r="P22" s="32">
        <v>783</v>
      </c>
      <c r="Q22" s="32">
        <v>47</v>
      </c>
      <c r="R22" s="32">
        <v>409</v>
      </c>
      <c r="S22" s="32">
        <v>3105</v>
      </c>
      <c r="T22" s="32">
        <v>6452</v>
      </c>
      <c r="U22" s="32">
        <v>1068</v>
      </c>
      <c r="V22" s="32">
        <v>2137</v>
      </c>
      <c r="W22" s="32">
        <v>16719</v>
      </c>
      <c r="X22" s="32">
        <v>33403</v>
      </c>
      <c r="Y22" s="32">
        <v>5323</v>
      </c>
      <c r="Z22" s="32">
        <v>743</v>
      </c>
      <c r="AA22" s="32">
        <v>37983</v>
      </c>
      <c r="AB22" s="32">
        <v>2021</v>
      </c>
      <c r="AC22" s="32">
        <v>187970</v>
      </c>
    </row>
    <row r="23" spans="1:29" x14ac:dyDescent="0.3">
      <c r="A23" s="31" t="s">
        <v>364</v>
      </c>
      <c r="B23" s="32">
        <v>4474</v>
      </c>
      <c r="C23" s="32">
        <v>579</v>
      </c>
      <c r="D23" s="32">
        <v>170</v>
      </c>
      <c r="E23" s="32">
        <v>20</v>
      </c>
      <c r="F23" s="32">
        <v>5243</v>
      </c>
      <c r="G23" s="32">
        <v>50</v>
      </c>
      <c r="H23" s="32">
        <v>5293</v>
      </c>
      <c r="I23" s="32">
        <v>2093</v>
      </c>
      <c r="J23" s="32">
        <v>216</v>
      </c>
      <c r="K23" s="32">
        <v>960</v>
      </c>
      <c r="L23" s="32">
        <v>3269</v>
      </c>
      <c r="M23" s="32">
        <v>3319</v>
      </c>
      <c r="N23" s="32">
        <v>1311</v>
      </c>
      <c r="O23" s="32">
        <v>67</v>
      </c>
      <c r="P23" s="32">
        <v>397</v>
      </c>
      <c r="Q23" s="32">
        <v>24</v>
      </c>
      <c r="R23" s="32">
        <v>208</v>
      </c>
      <c r="S23" s="32">
        <v>1575</v>
      </c>
      <c r="T23" s="32">
        <v>3273</v>
      </c>
      <c r="U23" s="32">
        <v>542</v>
      </c>
      <c r="V23" s="32">
        <v>1084</v>
      </c>
      <c r="W23" s="32">
        <v>8482</v>
      </c>
      <c r="X23" s="32">
        <v>17044</v>
      </c>
      <c r="Y23" s="32">
        <v>2716</v>
      </c>
      <c r="Z23" s="32">
        <v>379</v>
      </c>
      <c r="AA23" s="32">
        <v>19381</v>
      </c>
      <c r="AB23" s="32">
        <v>1269</v>
      </c>
      <c r="AC23" s="32">
        <v>152759</v>
      </c>
    </row>
    <row r="24" spans="1:29" x14ac:dyDescent="0.3">
      <c r="A24" s="31" t="s">
        <v>365</v>
      </c>
      <c r="B24" s="32">
        <v>8894</v>
      </c>
      <c r="C24" s="32">
        <v>2511</v>
      </c>
      <c r="D24" s="32">
        <v>559</v>
      </c>
      <c r="E24" s="32">
        <v>54</v>
      </c>
      <c r="F24" s="32">
        <v>12018</v>
      </c>
      <c r="G24" s="32">
        <v>18</v>
      </c>
      <c r="H24" s="32">
        <v>12036</v>
      </c>
      <c r="I24" s="32">
        <v>5827</v>
      </c>
      <c r="J24" s="32">
        <v>602</v>
      </c>
      <c r="K24" s="32">
        <v>2674</v>
      </c>
      <c r="L24" s="32">
        <v>9103</v>
      </c>
      <c r="M24" s="32">
        <v>9121</v>
      </c>
      <c r="N24" s="32">
        <v>3651</v>
      </c>
      <c r="O24" s="32">
        <v>187</v>
      </c>
      <c r="P24" s="32">
        <v>1106</v>
      </c>
      <c r="Q24" s="32">
        <v>67</v>
      </c>
      <c r="R24" s="32">
        <v>578</v>
      </c>
      <c r="S24" s="32">
        <v>4386</v>
      </c>
      <c r="T24" s="32">
        <v>9114</v>
      </c>
      <c r="U24" s="32">
        <v>1509</v>
      </c>
      <c r="V24" s="32">
        <v>3018</v>
      </c>
      <c r="W24" s="32">
        <v>23615</v>
      </c>
      <c r="X24" s="32">
        <v>44754</v>
      </c>
      <c r="Y24" s="32">
        <v>7132</v>
      </c>
      <c r="Z24" s="32">
        <v>995</v>
      </c>
      <c r="AA24" s="32">
        <v>50892</v>
      </c>
      <c r="AB24" s="32">
        <v>2803</v>
      </c>
      <c r="AC24" s="32">
        <v>181539</v>
      </c>
    </row>
    <row r="25" spans="1:29" x14ac:dyDescent="0.3">
      <c r="A25" s="31" t="s">
        <v>366</v>
      </c>
      <c r="B25" s="32">
        <v>7849</v>
      </c>
      <c r="C25" s="32">
        <v>1574</v>
      </c>
      <c r="D25" s="32">
        <v>1489</v>
      </c>
      <c r="E25" s="32">
        <v>109</v>
      </c>
      <c r="F25" s="32">
        <v>11021</v>
      </c>
      <c r="G25" s="32">
        <v>120</v>
      </c>
      <c r="H25" s="32">
        <v>11142</v>
      </c>
      <c r="I25" s="32">
        <v>8552</v>
      </c>
      <c r="J25" s="32">
        <v>883</v>
      </c>
      <c r="K25" s="32">
        <v>3924</v>
      </c>
      <c r="L25" s="32">
        <v>13359</v>
      </c>
      <c r="M25" s="32">
        <v>13479</v>
      </c>
      <c r="N25" s="32">
        <v>5358</v>
      </c>
      <c r="O25" s="32">
        <v>274</v>
      </c>
      <c r="P25" s="32">
        <v>1623</v>
      </c>
      <c r="Q25" s="32">
        <v>98</v>
      </c>
      <c r="R25" s="32">
        <v>848</v>
      </c>
      <c r="S25" s="32">
        <v>6437</v>
      </c>
      <c r="T25" s="32">
        <v>13375</v>
      </c>
      <c r="U25" s="32">
        <v>2214</v>
      </c>
      <c r="V25" s="32">
        <v>4430</v>
      </c>
      <c r="W25" s="32">
        <v>34656</v>
      </c>
      <c r="X25" s="32">
        <v>59157</v>
      </c>
      <c r="Y25" s="32">
        <v>9428</v>
      </c>
      <c r="Z25" s="32">
        <v>1315</v>
      </c>
      <c r="AA25" s="32">
        <v>67270</v>
      </c>
      <c r="AB25" s="32">
        <v>3681</v>
      </c>
      <c r="AC25" s="32">
        <v>182768</v>
      </c>
    </row>
    <row r="26" spans="1:29" x14ac:dyDescent="0.3">
      <c r="A26" s="31" t="s">
        <v>367</v>
      </c>
      <c r="B26" s="32">
        <v>7295</v>
      </c>
      <c r="C26" s="32">
        <v>2695</v>
      </c>
      <c r="D26" s="32">
        <v>615</v>
      </c>
      <c r="E26" s="32">
        <v>92</v>
      </c>
      <c r="F26" s="32">
        <v>10696</v>
      </c>
      <c r="G26" s="32">
        <v>720</v>
      </c>
      <c r="H26" s="32">
        <v>11416</v>
      </c>
      <c r="I26" s="32">
        <v>3490</v>
      </c>
      <c r="J26" s="32">
        <v>360</v>
      </c>
      <c r="K26" s="32">
        <v>1601</v>
      </c>
      <c r="L26" s="32">
        <v>5451</v>
      </c>
      <c r="M26" s="32">
        <v>6171</v>
      </c>
      <c r="N26" s="32">
        <v>2186</v>
      </c>
      <c r="O26" s="32">
        <v>112</v>
      </c>
      <c r="P26" s="32">
        <v>662</v>
      </c>
      <c r="Q26" s="32">
        <v>40</v>
      </c>
      <c r="R26" s="32">
        <v>346</v>
      </c>
      <c r="S26" s="32">
        <v>2626</v>
      </c>
      <c r="T26" s="32">
        <v>5458</v>
      </c>
      <c r="U26" s="32">
        <v>904</v>
      </c>
      <c r="V26" s="32">
        <v>1808</v>
      </c>
      <c r="W26" s="32">
        <v>14141</v>
      </c>
      <c r="X26" s="32">
        <v>31008</v>
      </c>
      <c r="Y26" s="32">
        <v>4942</v>
      </c>
      <c r="Z26" s="32">
        <v>689</v>
      </c>
      <c r="AA26" s="32">
        <v>35261</v>
      </c>
      <c r="AB26" s="32">
        <v>1791</v>
      </c>
      <c r="AC26" s="32">
        <v>196932</v>
      </c>
    </row>
    <row r="27" spans="1:29" x14ac:dyDescent="0.3">
      <c r="A27" s="31" t="s">
        <v>368</v>
      </c>
      <c r="B27" s="32">
        <v>5749</v>
      </c>
      <c r="C27" s="32">
        <v>1599</v>
      </c>
      <c r="D27" s="32">
        <v>3119</v>
      </c>
      <c r="E27" s="32">
        <v>96</v>
      </c>
      <c r="F27" s="32">
        <v>10563</v>
      </c>
      <c r="G27" s="32">
        <v>325</v>
      </c>
      <c r="H27" s="32">
        <v>10889</v>
      </c>
      <c r="I27" s="32">
        <v>6324</v>
      </c>
      <c r="J27" s="32">
        <v>653</v>
      </c>
      <c r="K27" s="32">
        <v>2902</v>
      </c>
      <c r="L27" s="32">
        <v>9880</v>
      </c>
      <c r="M27" s="32">
        <v>10205</v>
      </c>
      <c r="N27" s="32">
        <v>3962</v>
      </c>
      <c r="O27" s="32">
        <v>203</v>
      </c>
      <c r="P27" s="32">
        <v>1200</v>
      </c>
      <c r="Q27" s="32">
        <v>73</v>
      </c>
      <c r="R27" s="32">
        <v>627</v>
      </c>
      <c r="S27" s="32">
        <v>4760</v>
      </c>
      <c r="T27" s="32">
        <v>9891</v>
      </c>
      <c r="U27" s="32">
        <v>1638</v>
      </c>
      <c r="V27" s="32">
        <v>3276</v>
      </c>
      <c r="W27" s="32">
        <v>25630</v>
      </c>
      <c r="X27" s="32">
        <v>46398</v>
      </c>
      <c r="Y27" s="32">
        <v>7394</v>
      </c>
      <c r="Z27" s="32">
        <v>1031</v>
      </c>
      <c r="AA27" s="32">
        <v>52761</v>
      </c>
      <c r="AB27" s="32">
        <v>2681</v>
      </c>
      <c r="AC27" s="32">
        <v>196780</v>
      </c>
    </row>
    <row r="28" spans="1:29" s="2" customFormat="1" x14ac:dyDescent="0.3">
      <c r="A28" s="14" t="s">
        <v>403</v>
      </c>
      <c r="B28" s="15">
        <v>55687</v>
      </c>
      <c r="C28" s="15">
        <v>14210</v>
      </c>
      <c r="D28" s="15">
        <v>10064</v>
      </c>
      <c r="E28" s="15">
        <v>513</v>
      </c>
      <c r="F28" s="15">
        <v>80474</v>
      </c>
      <c r="G28" s="15">
        <v>3590</v>
      </c>
      <c r="H28" s="15">
        <v>84067</v>
      </c>
      <c r="I28" s="15">
        <v>48158</v>
      </c>
      <c r="J28" s="15">
        <v>4973</v>
      </c>
      <c r="K28" s="15">
        <v>22097</v>
      </c>
      <c r="L28" s="15">
        <v>75229</v>
      </c>
      <c r="M28" s="15">
        <v>78819</v>
      </c>
      <c r="N28" s="15">
        <v>30171</v>
      </c>
      <c r="O28" s="15">
        <v>1543</v>
      </c>
      <c r="P28" s="15">
        <v>9139</v>
      </c>
      <c r="Q28" s="15">
        <v>553</v>
      </c>
      <c r="R28" s="15">
        <v>4776</v>
      </c>
      <c r="S28" s="15">
        <v>36246</v>
      </c>
      <c r="T28" s="15">
        <v>75319</v>
      </c>
      <c r="U28" s="15">
        <v>12470</v>
      </c>
      <c r="V28" s="15">
        <v>24946</v>
      </c>
      <c r="W28" s="15">
        <v>195160</v>
      </c>
      <c r="X28" s="15">
        <v>354455</v>
      </c>
      <c r="Y28" s="15">
        <v>56488</v>
      </c>
      <c r="Z28" s="15">
        <v>7879</v>
      </c>
      <c r="AA28" s="15">
        <v>403064</v>
      </c>
      <c r="AB28" s="15">
        <v>20511</v>
      </c>
      <c r="AC28" s="15">
        <f>AVERAGE(AC20:AC27)</f>
        <v>191138.25</v>
      </c>
    </row>
    <row r="29" spans="1:29" x14ac:dyDescent="0.3">
      <c r="A29" s="34" t="s">
        <v>369</v>
      </c>
      <c r="B29" s="35">
        <v>6825</v>
      </c>
      <c r="C29" s="35">
        <v>926</v>
      </c>
      <c r="D29" s="35">
        <v>412</v>
      </c>
      <c r="E29" s="35">
        <v>63</v>
      </c>
      <c r="F29" s="35">
        <v>8226</v>
      </c>
      <c r="G29" s="35">
        <v>159</v>
      </c>
      <c r="H29" s="35">
        <v>8385</v>
      </c>
      <c r="I29" s="35">
        <v>4849</v>
      </c>
      <c r="J29" s="35">
        <v>501</v>
      </c>
      <c r="K29" s="35">
        <v>2225</v>
      </c>
      <c r="L29" s="35">
        <v>7575</v>
      </c>
      <c r="M29" s="35">
        <v>7734</v>
      </c>
      <c r="N29" s="35">
        <v>3038</v>
      </c>
      <c r="O29" s="35">
        <v>155</v>
      </c>
      <c r="P29" s="35">
        <v>920</v>
      </c>
      <c r="Q29" s="35">
        <v>56</v>
      </c>
      <c r="R29" s="35">
        <v>481</v>
      </c>
      <c r="S29" s="35">
        <v>3650</v>
      </c>
      <c r="T29" s="35">
        <v>7584</v>
      </c>
      <c r="U29" s="35">
        <v>1256</v>
      </c>
      <c r="V29" s="35">
        <v>2512</v>
      </c>
      <c r="W29" s="35">
        <v>19651</v>
      </c>
      <c r="X29" s="35">
        <v>35611</v>
      </c>
      <c r="Y29" s="35">
        <v>5675</v>
      </c>
      <c r="Z29" s="35">
        <v>792</v>
      </c>
      <c r="AA29" s="35">
        <v>40494</v>
      </c>
      <c r="AB29" s="35">
        <v>2810</v>
      </c>
      <c r="AC29" s="35">
        <v>144126</v>
      </c>
    </row>
    <row r="30" spans="1:29" x14ac:dyDescent="0.3">
      <c r="A30" s="34" t="s">
        <v>370</v>
      </c>
      <c r="B30" s="35">
        <v>5098</v>
      </c>
      <c r="C30" s="35">
        <v>495</v>
      </c>
      <c r="D30" s="35">
        <v>296</v>
      </c>
      <c r="E30" s="35">
        <v>33</v>
      </c>
      <c r="F30" s="35">
        <v>5923</v>
      </c>
      <c r="G30" s="35">
        <v>427</v>
      </c>
      <c r="H30" s="35">
        <v>6350</v>
      </c>
      <c r="I30" s="35">
        <v>5388</v>
      </c>
      <c r="J30" s="35">
        <v>556</v>
      </c>
      <c r="K30" s="35">
        <v>2472</v>
      </c>
      <c r="L30" s="35">
        <v>8416</v>
      </c>
      <c r="M30" s="35">
        <v>8843</v>
      </c>
      <c r="N30" s="35">
        <v>3375</v>
      </c>
      <c r="O30" s="35">
        <v>173</v>
      </c>
      <c r="P30" s="35">
        <v>1022</v>
      </c>
      <c r="Q30" s="35">
        <v>62</v>
      </c>
      <c r="R30" s="35">
        <v>534</v>
      </c>
      <c r="S30" s="35">
        <v>4055</v>
      </c>
      <c r="T30" s="35">
        <v>8426</v>
      </c>
      <c r="U30" s="35">
        <v>1395</v>
      </c>
      <c r="V30" s="35">
        <v>2791</v>
      </c>
      <c r="W30" s="35">
        <v>21834</v>
      </c>
      <c r="X30" s="35">
        <v>36600</v>
      </c>
      <c r="Y30" s="35">
        <v>5833</v>
      </c>
      <c r="Z30" s="35">
        <v>814</v>
      </c>
      <c r="AA30" s="35">
        <v>41619</v>
      </c>
      <c r="AB30" s="35">
        <v>2019</v>
      </c>
      <c r="AC30" s="35">
        <v>206140</v>
      </c>
    </row>
    <row r="31" spans="1:29" x14ac:dyDescent="0.3">
      <c r="A31" s="34" t="s">
        <v>371</v>
      </c>
      <c r="B31" s="35">
        <v>3720</v>
      </c>
      <c r="C31" s="35">
        <v>390</v>
      </c>
      <c r="D31" s="35">
        <v>214</v>
      </c>
      <c r="E31" s="35">
        <v>83</v>
      </c>
      <c r="F31" s="35">
        <v>4407</v>
      </c>
      <c r="G31" s="35">
        <v>56</v>
      </c>
      <c r="H31" s="35">
        <v>4463</v>
      </c>
      <c r="I31" s="35">
        <v>1962</v>
      </c>
      <c r="J31" s="35">
        <v>203</v>
      </c>
      <c r="K31" s="35">
        <v>900</v>
      </c>
      <c r="L31" s="35">
        <v>3065</v>
      </c>
      <c r="M31" s="35">
        <v>3120</v>
      </c>
      <c r="N31" s="35">
        <v>1229</v>
      </c>
      <c r="O31" s="35">
        <v>63</v>
      </c>
      <c r="P31" s="35">
        <v>372</v>
      </c>
      <c r="Q31" s="35">
        <v>23</v>
      </c>
      <c r="R31" s="35">
        <v>195</v>
      </c>
      <c r="S31" s="35">
        <v>1477</v>
      </c>
      <c r="T31" s="35">
        <v>3068</v>
      </c>
      <c r="U31" s="35">
        <v>508</v>
      </c>
      <c r="V31" s="35">
        <v>1016</v>
      </c>
      <c r="W31" s="35">
        <v>7950</v>
      </c>
      <c r="X31" s="35">
        <v>15477</v>
      </c>
      <c r="Y31" s="35">
        <v>2467</v>
      </c>
      <c r="Z31" s="35">
        <v>344</v>
      </c>
      <c r="AA31" s="35">
        <v>17600</v>
      </c>
      <c r="AB31" s="35">
        <v>1294</v>
      </c>
      <c r="AC31" s="35">
        <v>135971</v>
      </c>
    </row>
    <row r="32" spans="1:29" x14ac:dyDescent="0.3">
      <c r="A32" s="34" t="s">
        <v>372</v>
      </c>
      <c r="B32" s="35">
        <v>5152</v>
      </c>
      <c r="C32" s="35">
        <v>1215</v>
      </c>
      <c r="D32" s="35">
        <v>1256</v>
      </c>
      <c r="E32" s="35">
        <v>53</v>
      </c>
      <c r="F32" s="35">
        <v>7676</v>
      </c>
      <c r="G32" s="35">
        <v>121</v>
      </c>
      <c r="H32" s="35">
        <v>7797</v>
      </c>
      <c r="I32" s="35">
        <v>7743</v>
      </c>
      <c r="J32" s="35">
        <v>800</v>
      </c>
      <c r="K32" s="35">
        <v>3553</v>
      </c>
      <c r="L32" s="35">
        <v>12095</v>
      </c>
      <c r="M32" s="35">
        <v>12216</v>
      </c>
      <c r="N32" s="35">
        <v>4851</v>
      </c>
      <c r="O32" s="35">
        <v>248</v>
      </c>
      <c r="P32" s="35">
        <v>1469</v>
      </c>
      <c r="Q32" s="35">
        <v>89</v>
      </c>
      <c r="R32" s="35">
        <v>768</v>
      </c>
      <c r="S32" s="35">
        <v>5828</v>
      </c>
      <c r="T32" s="35">
        <v>12110</v>
      </c>
      <c r="U32" s="35">
        <v>2005</v>
      </c>
      <c r="V32" s="35">
        <v>4011</v>
      </c>
      <c r="W32" s="35">
        <v>31379</v>
      </c>
      <c r="X32" s="35">
        <v>51271</v>
      </c>
      <c r="Y32" s="35">
        <v>8171</v>
      </c>
      <c r="Z32" s="35">
        <v>1140</v>
      </c>
      <c r="AA32" s="35">
        <v>58302</v>
      </c>
      <c r="AB32" s="35">
        <v>3199</v>
      </c>
      <c r="AC32" s="35">
        <v>182235</v>
      </c>
    </row>
    <row r="33" spans="1:29" x14ac:dyDescent="0.3">
      <c r="A33" s="34" t="s">
        <v>373</v>
      </c>
      <c r="B33" s="35">
        <v>4633</v>
      </c>
      <c r="C33" s="35">
        <v>785</v>
      </c>
      <c r="D33" s="35">
        <v>2307</v>
      </c>
      <c r="E33" s="35">
        <v>88</v>
      </c>
      <c r="F33" s="35">
        <v>7813</v>
      </c>
      <c r="G33" s="35">
        <v>1914</v>
      </c>
      <c r="H33" s="35">
        <v>9727</v>
      </c>
      <c r="I33" s="35">
        <v>5617</v>
      </c>
      <c r="J33" s="35">
        <v>580</v>
      </c>
      <c r="K33" s="35">
        <v>2577</v>
      </c>
      <c r="L33" s="35">
        <v>8775</v>
      </c>
      <c r="M33" s="35">
        <v>10688</v>
      </c>
      <c r="N33" s="35">
        <v>3519</v>
      </c>
      <c r="O33" s="35">
        <v>180</v>
      </c>
      <c r="P33" s="35">
        <v>1066</v>
      </c>
      <c r="Q33" s="35">
        <v>65</v>
      </c>
      <c r="R33" s="35">
        <v>557</v>
      </c>
      <c r="S33" s="35">
        <v>4228</v>
      </c>
      <c r="T33" s="35">
        <v>8785</v>
      </c>
      <c r="U33" s="35">
        <v>1454</v>
      </c>
      <c r="V33" s="35">
        <v>2910</v>
      </c>
      <c r="W33" s="35">
        <v>22763</v>
      </c>
      <c r="X33" s="35">
        <v>41265</v>
      </c>
      <c r="Y33" s="35">
        <v>6576</v>
      </c>
      <c r="Z33" s="35">
        <v>917</v>
      </c>
      <c r="AA33" s="35">
        <v>46924</v>
      </c>
      <c r="AB33" s="35">
        <v>3013</v>
      </c>
      <c r="AC33" s="35">
        <v>155727</v>
      </c>
    </row>
    <row r="34" spans="1:29" s="2" customFormat="1" x14ac:dyDescent="0.3">
      <c r="A34" s="16" t="s">
        <v>407</v>
      </c>
      <c r="B34" s="17">
        <v>25428</v>
      </c>
      <c r="C34" s="17">
        <v>3811</v>
      </c>
      <c r="D34" s="17">
        <v>4485</v>
      </c>
      <c r="E34" s="17">
        <v>320</v>
      </c>
      <c r="F34" s="17">
        <v>34045</v>
      </c>
      <c r="G34" s="17">
        <v>2677</v>
      </c>
      <c r="H34" s="17">
        <v>36722</v>
      </c>
      <c r="I34" s="17">
        <v>25559</v>
      </c>
      <c r="J34" s="17">
        <v>2640</v>
      </c>
      <c r="K34" s="17">
        <v>11727</v>
      </c>
      <c r="L34" s="17">
        <v>39926</v>
      </c>
      <c r="M34" s="17">
        <v>42601</v>
      </c>
      <c r="N34" s="17">
        <v>16012</v>
      </c>
      <c r="O34" s="17">
        <v>819</v>
      </c>
      <c r="P34" s="17">
        <v>4849</v>
      </c>
      <c r="Q34" s="17">
        <v>295</v>
      </c>
      <c r="R34" s="17">
        <v>2535</v>
      </c>
      <c r="S34" s="17">
        <v>19238</v>
      </c>
      <c r="T34" s="17">
        <v>39973</v>
      </c>
      <c r="U34" s="17">
        <v>6618</v>
      </c>
      <c r="V34" s="17">
        <v>13240</v>
      </c>
      <c r="W34" s="17">
        <v>103577</v>
      </c>
      <c r="X34" s="17">
        <v>180224</v>
      </c>
      <c r="Y34" s="17">
        <v>28722</v>
      </c>
      <c r="Z34" s="17">
        <v>4007</v>
      </c>
      <c r="AA34" s="17">
        <v>204939</v>
      </c>
      <c r="AB34" s="17">
        <v>12335</v>
      </c>
      <c r="AC34" s="17">
        <f>AVERAGE(AC29:AC33)</f>
        <v>164839.79999999999</v>
      </c>
    </row>
    <row r="35" spans="1:29" x14ac:dyDescent="0.3">
      <c r="A35" s="20" t="s">
        <v>374</v>
      </c>
      <c r="B35" s="21">
        <v>4202</v>
      </c>
      <c r="C35" s="21">
        <v>564</v>
      </c>
      <c r="D35" s="21">
        <v>1629</v>
      </c>
      <c r="E35" s="21">
        <v>24</v>
      </c>
      <c r="F35" s="21">
        <v>6419</v>
      </c>
      <c r="G35" s="21">
        <v>65</v>
      </c>
      <c r="H35" s="21">
        <v>6484</v>
      </c>
      <c r="I35" s="21">
        <v>4056</v>
      </c>
      <c r="J35" s="21">
        <v>419</v>
      </c>
      <c r="K35" s="21">
        <v>1861</v>
      </c>
      <c r="L35" s="21">
        <v>6336</v>
      </c>
      <c r="M35" s="21">
        <v>6401</v>
      </c>
      <c r="N35" s="21">
        <v>2541</v>
      </c>
      <c r="O35" s="21">
        <v>130</v>
      </c>
      <c r="P35" s="21">
        <v>770</v>
      </c>
      <c r="Q35" s="21">
        <v>47</v>
      </c>
      <c r="R35" s="21">
        <v>402</v>
      </c>
      <c r="S35" s="21">
        <v>3053</v>
      </c>
      <c r="T35" s="21">
        <v>6343</v>
      </c>
      <c r="U35" s="21">
        <v>1050</v>
      </c>
      <c r="V35" s="21">
        <v>2101</v>
      </c>
      <c r="W35" s="21">
        <v>16436</v>
      </c>
      <c r="X35" s="21">
        <v>29256</v>
      </c>
      <c r="Y35" s="21">
        <v>4662</v>
      </c>
      <c r="Z35" s="21">
        <v>650</v>
      </c>
      <c r="AA35" s="21">
        <v>33268</v>
      </c>
      <c r="AB35" s="21">
        <v>1434</v>
      </c>
      <c r="AC35" s="21">
        <v>231929</v>
      </c>
    </row>
    <row r="36" spans="1:29" x14ac:dyDescent="0.3">
      <c r="A36" s="20" t="s">
        <v>375</v>
      </c>
      <c r="B36" s="21">
        <v>6568</v>
      </c>
      <c r="C36" s="21">
        <v>1221</v>
      </c>
      <c r="D36" s="21">
        <v>1659</v>
      </c>
      <c r="E36" s="21">
        <v>115</v>
      </c>
      <c r="F36" s="21">
        <v>9562</v>
      </c>
      <c r="G36" s="21">
        <v>1768</v>
      </c>
      <c r="H36" s="21">
        <v>11330</v>
      </c>
      <c r="I36" s="21">
        <v>26436</v>
      </c>
      <c r="J36" s="21">
        <v>2730</v>
      </c>
      <c r="K36" s="21">
        <v>12130</v>
      </c>
      <c r="L36" s="21">
        <v>41296</v>
      </c>
      <c r="M36" s="21">
        <v>43064</v>
      </c>
      <c r="N36" s="21">
        <v>16562</v>
      </c>
      <c r="O36" s="21">
        <v>847</v>
      </c>
      <c r="P36" s="21">
        <v>5016</v>
      </c>
      <c r="Q36" s="21">
        <v>304</v>
      </c>
      <c r="R36" s="21">
        <v>2621</v>
      </c>
      <c r="S36" s="21">
        <v>19897</v>
      </c>
      <c r="T36" s="21">
        <v>41345</v>
      </c>
      <c r="U36" s="21">
        <v>6845</v>
      </c>
      <c r="V36" s="21">
        <v>13693</v>
      </c>
      <c r="W36" s="21">
        <v>107131</v>
      </c>
      <c r="X36" s="21">
        <v>159756</v>
      </c>
      <c r="Y36" s="21">
        <v>25460</v>
      </c>
      <c r="Z36" s="21">
        <v>3551</v>
      </c>
      <c r="AA36" s="21">
        <v>181665</v>
      </c>
      <c r="AB36" s="21">
        <v>5372</v>
      </c>
      <c r="AC36" s="21">
        <v>338153</v>
      </c>
    </row>
    <row r="37" spans="1:29" x14ac:dyDescent="0.3">
      <c r="A37" s="20" t="s">
        <v>376</v>
      </c>
      <c r="B37" s="21">
        <v>2387</v>
      </c>
      <c r="C37" s="21">
        <v>726</v>
      </c>
      <c r="D37" s="21">
        <v>1586</v>
      </c>
      <c r="E37" s="21">
        <v>105</v>
      </c>
      <c r="F37" s="21">
        <v>4804</v>
      </c>
      <c r="G37" s="21">
        <v>1900</v>
      </c>
      <c r="H37" s="21">
        <v>6704</v>
      </c>
      <c r="I37" s="21">
        <v>2754</v>
      </c>
      <c r="J37" s="21">
        <v>284</v>
      </c>
      <c r="K37" s="21">
        <v>1264</v>
      </c>
      <c r="L37" s="21">
        <v>4303</v>
      </c>
      <c r="M37" s="21">
        <v>6203</v>
      </c>
      <c r="N37" s="21">
        <v>1726</v>
      </c>
      <c r="O37" s="21">
        <v>88</v>
      </c>
      <c r="P37" s="21">
        <v>523</v>
      </c>
      <c r="Q37" s="21">
        <v>32</v>
      </c>
      <c r="R37" s="21">
        <v>273</v>
      </c>
      <c r="S37" s="21">
        <v>2073</v>
      </c>
      <c r="T37" s="21">
        <v>4308</v>
      </c>
      <c r="U37" s="21">
        <v>713</v>
      </c>
      <c r="V37" s="21">
        <v>1427</v>
      </c>
      <c r="W37" s="21">
        <v>11162</v>
      </c>
      <c r="X37" s="21">
        <v>22169</v>
      </c>
      <c r="Y37" s="21">
        <v>3533</v>
      </c>
      <c r="Z37" s="21">
        <v>493</v>
      </c>
      <c r="AA37" s="21">
        <v>25209</v>
      </c>
      <c r="AB37" s="21">
        <v>1301</v>
      </c>
      <c r="AC37" s="21">
        <v>193767</v>
      </c>
    </row>
    <row r="38" spans="1:29" x14ac:dyDescent="0.3">
      <c r="A38" s="20" t="s">
        <v>377</v>
      </c>
      <c r="B38" s="21">
        <v>2437</v>
      </c>
      <c r="C38" s="21">
        <v>409</v>
      </c>
      <c r="D38" s="21">
        <v>582</v>
      </c>
      <c r="E38" s="21">
        <v>91</v>
      </c>
      <c r="F38" s="21">
        <v>3519</v>
      </c>
      <c r="G38" s="21">
        <v>256</v>
      </c>
      <c r="H38" s="21">
        <v>3775</v>
      </c>
      <c r="I38" s="21">
        <v>3499</v>
      </c>
      <c r="J38" s="21">
        <v>361</v>
      </c>
      <c r="K38" s="21">
        <v>1606</v>
      </c>
      <c r="L38" s="21">
        <v>5466</v>
      </c>
      <c r="M38" s="21">
        <v>5722</v>
      </c>
      <c r="N38" s="21">
        <v>2192</v>
      </c>
      <c r="O38" s="21">
        <v>112</v>
      </c>
      <c r="P38" s="21">
        <v>664</v>
      </c>
      <c r="Q38" s="21">
        <v>40</v>
      </c>
      <c r="R38" s="21">
        <v>347</v>
      </c>
      <c r="S38" s="21">
        <v>2634</v>
      </c>
      <c r="T38" s="21">
        <v>5473</v>
      </c>
      <c r="U38" s="21">
        <v>906</v>
      </c>
      <c r="V38" s="21">
        <v>1812</v>
      </c>
      <c r="W38" s="21">
        <v>14180</v>
      </c>
      <c r="X38" s="21">
        <v>23421</v>
      </c>
      <c r="Y38" s="21">
        <v>3733</v>
      </c>
      <c r="Z38" s="21">
        <v>521</v>
      </c>
      <c r="AA38" s="21">
        <v>26633</v>
      </c>
      <c r="AB38" s="21">
        <v>1429</v>
      </c>
      <c r="AC38" s="21">
        <v>186397</v>
      </c>
    </row>
    <row r="39" spans="1:29" x14ac:dyDescent="0.3">
      <c r="A39" s="20" t="s">
        <v>378</v>
      </c>
      <c r="B39" s="21">
        <v>4297</v>
      </c>
      <c r="C39" s="21">
        <v>476</v>
      </c>
      <c r="D39" s="21">
        <v>4137</v>
      </c>
      <c r="E39" s="21">
        <v>158</v>
      </c>
      <c r="F39" s="21">
        <v>9069</v>
      </c>
      <c r="G39" s="21">
        <v>4633</v>
      </c>
      <c r="H39" s="21">
        <v>13702</v>
      </c>
      <c r="I39" s="21">
        <v>6501</v>
      </c>
      <c r="J39" s="21">
        <v>671</v>
      </c>
      <c r="K39" s="21">
        <v>2983</v>
      </c>
      <c r="L39" s="21">
        <v>10155</v>
      </c>
      <c r="M39" s="21">
        <v>14788</v>
      </c>
      <c r="N39" s="21">
        <v>4073</v>
      </c>
      <c r="O39" s="21">
        <v>208</v>
      </c>
      <c r="P39" s="21">
        <v>1234</v>
      </c>
      <c r="Q39" s="21">
        <v>75</v>
      </c>
      <c r="R39" s="21">
        <v>645</v>
      </c>
      <c r="S39" s="21">
        <v>4893</v>
      </c>
      <c r="T39" s="21">
        <v>10167</v>
      </c>
      <c r="U39" s="21">
        <v>1683</v>
      </c>
      <c r="V39" s="21">
        <v>3367</v>
      </c>
      <c r="W39" s="21">
        <v>26345</v>
      </c>
      <c r="X39" s="21">
        <v>50202</v>
      </c>
      <c r="Y39" s="21">
        <v>8001</v>
      </c>
      <c r="Z39" s="21">
        <v>1116</v>
      </c>
      <c r="AA39" s="21">
        <v>57087</v>
      </c>
      <c r="AB39" s="21">
        <v>2439</v>
      </c>
      <c r="AC39" s="21">
        <v>234043</v>
      </c>
    </row>
    <row r="40" spans="1:29" x14ac:dyDescent="0.3">
      <c r="A40" s="20" t="s">
        <v>379</v>
      </c>
      <c r="B40" s="21">
        <v>881</v>
      </c>
      <c r="C40" s="21">
        <v>392</v>
      </c>
      <c r="D40" s="21">
        <v>1259</v>
      </c>
      <c r="E40" s="21">
        <v>47</v>
      </c>
      <c r="F40" s="21">
        <v>2578</v>
      </c>
      <c r="G40" s="21">
        <v>129</v>
      </c>
      <c r="H40" s="21">
        <v>2707</v>
      </c>
      <c r="I40" s="21">
        <v>1984</v>
      </c>
      <c r="J40" s="21">
        <v>205</v>
      </c>
      <c r="K40" s="21">
        <v>910</v>
      </c>
      <c r="L40" s="21">
        <v>3100</v>
      </c>
      <c r="M40" s="21">
        <v>3228</v>
      </c>
      <c r="N40" s="21">
        <v>1243</v>
      </c>
      <c r="O40" s="21">
        <v>64</v>
      </c>
      <c r="P40" s="21">
        <v>377</v>
      </c>
      <c r="Q40" s="21">
        <v>23</v>
      </c>
      <c r="R40" s="21">
        <v>197</v>
      </c>
      <c r="S40" s="21">
        <v>1493</v>
      </c>
      <c r="T40" s="21">
        <v>3103</v>
      </c>
      <c r="U40" s="21">
        <v>514</v>
      </c>
      <c r="V40" s="21">
        <v>1028</v>
      </c>
      <c r="W40" s="21">
        <v>8041</v>
      </c>
      <c r="X40" s="21">
        <v>13848</v>
      </c>
      <c r="Y40" s="21">
        <v>2207</v>
      </c>
      <c r="Z40" s="21">
        <v>308</v>
      </c>
      <c r="AA40" s="21">
        <v>15747</v>
      </c>
      <c r="AB40" s="21">
        <v>1150</v>
      </c>
      <c r="AC40" s="21">
        <v>136958</v>
      </c>
    </row>
    <row r="41" spans="1:29" s="2" customFormat="1" x14ac:dyDescent="0.3">
      <c r="A41" s="23" t="s">
        <v>402</v>
      </c>
      <c r="B41" s="24">
        <v>20772</v>
      </c>
      <c r="C41" s="24">
        <v>3788</v>
      </c>
      <c r="D41" s="24">
        <v>10852</v>
      </c>
      <c r="E41" s="24">
        <v>540</v>
      </c>
      <c r="F41" s="24">
        <v>35951</v>
      </c>
      <c r="G41" s="24">
        <v>8751</v>
      </c>
      <c r="H41" s="24">
        <v>44702</v>
      </c>
      <c r="I41" s="24">
        <v>45230</v>
      </c>
      <c r="J41" s="24">
        <v>4670</v>
      </c>
      <c r="K41" s="24">
        <v>20754</v>
      </c>
      <c r="L41" s="24">
        <v>70656</v>
      </c>
      <c r="M41" s="24">
        <v>79406</v>
      </c>
      <c r="N41" s="24">
        <v>28337</v>
      </c>
      <c r="O41" s="24">
        <v>1449</v>
      </c>
      <c r="P41" s="24">
        <v>8584</v>
      </c>
      <c r="Q41" s="24">
        <v>521</v>
      </c>
      <c r="R41" s="24">
        <v>4485</v>
      </c>
      <c r="S41" s="24">
        <v>34043</v>
      </c>
      <c r="T41" s="24">
        <v>70739</v>
      </c>
      <c r="U41" s="24">
        <v>11711</v>
      </c>
      <c r="V41" s="24">
        <v>23428</v>
      </c>
      <c r="W41" s="24">
        <v>183295</v>
      </c>
      <c r="X41" s="24">
        <v>298652</v>
      </c>
      <c r="Y41" s="24">
        <v>47596</v>
      </c>
      <c r="Z41" s="24">
        <v>6639</v>
      </c>
      <c r="AA41" s="24">
        <v>339609</v>
      </c>
      <c r="AB41" s="24">
        <v>13125</v>
      </c>
      <c r="AC41" s="24">
        <f>AVERAGE(AC35:AC40)</f>
        <v>220207.83333333334</v>
      </c>
    </row>
    <row r="42" spans="1:29" s="2" customFormat="1" x14ac:dyDescent="0.3">
      <c r="A42" s="25" t="s">
        <v>406</v>
      </c>
      <c r="B42" s="26">
        <v>228348</v>
      </c>
      <c r="C42" s="26">
        <v>89484</v>
      </c>
      <c r="D42" s="26">
        <v>54566</v>
      </c>
      <c r="E42" s="26">
        <v>7829</v>
      </c>
      <c r="F42" s="26">
        <v>380227</v>
      </c>
      <c r="G42" s="26">
        <v>58254</v>
      </c>
      <c r="H42" s="26">
        <v>438489</v>
      </c>
      <c r="I42" s="26">
        <v>492946</v>
      </c>
      <c r="J42" s="26">
        <v>50907</v>
      </c>
      <c r="K42" s="26">
        <v>226184</v>
      </c>
      <c r="L42" s="26">
        <v>770041</v>
      </c>
      <c r="M42" s="26">
        <v>828295</v>
      </c>
      <c r="N42" s="26">
        <v>308831</v>
      </c>
      <c r="O42" s="26">
        <v>15787</v>
      </c>
      <c r="P42" s="26">
        <v>93543</v>
      </c>
      <c r="Q42" s="26">
        <v>5668</v>
      </c>
      <c r="R42" s="26">
        <v>48882</v>
      </c>
      <c r="S42" s="26">
        <v>371021</v>
      </c>
      <c r="T42" s="26">
        <v>770959</v>
      </c>
      <c r="U42" s="26">
        <v>127642</v>
      </c>
      <c r="V42" s="26">
        <v>255342</v>
      </c>
      <c r="W42" s="26">
        <v>1997671</v>
      </c>
      <c r="X42" s="26">
        <v>3206196</v>
      </c>
      <c r="Y42" s="26">
        <v>510962</v>
      </c>
      <c r="Z42" s="26">
        <v>71273</v>
      </c>
      <c r="AA42" s="26">
        <v>3645886</v>
      </c>
      <c r="AB42" s="26">
        <v>125979</v>
      </c>
      <c r="AC42" s="26">
        <f>AVERAGE(AC41,AC34,AC28,AC13,AC7,AC19)</f>
        <v>237718.08055555556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6E1F-DB19-4D31-9748-116F8B38CD27}">
  <dimension ref="A1:AC42"/>
  <sheetViews>
    <sheetView tabSelected="1" zoomScaleNormal="100"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J12" sqref="J12"/>
    </sheetView>
  </sheetViews>
  <sheetFormatPr defaultRowHeight="14.4" x14ac:dyDescent="0.3"/>
  <cols>
    <col min="1" max="1" width="22.33203125" bestFit="1" customWidth="1"/>
    <col min="2" max="2" width="7.21875" bestFit="1" customWidth="1"/>
    <col min="3" max="3" width="7.88671875" customWidth="1"/>
    <col min="4" max="4" width="14" bestFit="1" customWidth="1"/>
    <col min="5" max="5" width="15.44140625" bestFit="1" customWidth="1"/>
    <col min="6" max="6" width="19.44140625" bestFit="1" customWidth="1"/>
    <col min="7" max="7" width="13.21875" bestFit="1" customWidth="1"/>
    <col min="8" max="8" width="9.5546875" bestFit="1" customWidth="1"/>
    <col min="9" max="9" width="9.88671875" bestFit="1" customWidth="1"/>
    <col min="10" max="10" width="33.77734375" bestFit="1" customWidth="1"/>
    <col min="11" max="11" width="8.77734375" bestFit="1" customWidth="1"/>
    <col min="12" max="12" width="11.44140625" bestFit="1" customWidth="1"/>
    <col min="13" max="13" width="7.109375" bestFit="1" customWidth="1"/>
    <col min="14" max="14" width="23" bestFit="1" customWidth="1"/>
    <col min="15" max="15" width="6.33203125" bestFit="1" customWidth="1"/>
    <col min="16" max="16" width="25.77734375" bestFit="1" customWidth="1"/>
    <col min="17" max="17" width="5.5546875" bestFit="1" customWidth="1"/>
    <col min="18" max="18" width="23.6640625" bestFit="1" customWidth="1"/>
    <col min="19" max="19" width="11.6640625" bestFit="1" customWidth="1"/>
    <col min="20" max="20" width="29.33203125" bestFit="1" customWidth="1"/>
    <col min="21" max="21" width="20.77734375" bestFit="1" customWidth="1"/>
    <col min="22" max="22" width="9.6640625" bestFit="1" customWidth="1"/>
    <col min="23" max="23" width="15.6640625" bestFit="1" customWidth="1"/>
    <col min="24" max="24" width="8.109375" bestFit="1" customWidth="1"/>
    <col min="25" max="25" width="12" bestFit="1" customWidth="1"/>
    <col min="26" max="26" width="17.5546875" bestFit="1" customWidth="1"/>
    <col min="27" max="27" width="8.109375" bestFit="1" customWidth="1"/>
    <col min="28" max="28" width="10.88671875" bestFit="1" customWidth="1"/>
    <col min="29" max="29" width="23.5546875" bestFit="1" customWidth="1"/>
  </cols>
  <sheetData>
    <row r="1" spans="1:29" x14ac:dyDescent="0.3">
      <c r="A1" s="37" t="s">
        <v>0</v>
      </c>
      <c r="B1" s="37" t="s">
        <v>1</v>
      </c>
      <c r="C1" s="37" t="s">
        <v>2</v>
      </c>
      <c r="D1" s="37" t="s">
        <v>382</v>
      </c>
      <c r="E1" s="37" t="s">
        <v>383</v>
      </c>
      <c r="F1" s="37" t="s">
        <v>384</v>
      </c>
      <c r="G1" s="37" t="s">
        <v>385</v>
      </c>
      <c r="H1" s="37" t="s">
        <v>386</v>
      </c>
      <c r="I1" s="37" t="s">
        <v>3</v>
      </c>
      <c r="J1" s="37" t="s">
        <v>387</v>
      </c>
      <c r="K1" s="37" t="s">
        <v>4</v>
      </c>
      <c r="L1" s="37" t="s">
        <v>388</v>
      </c>
      <c r="M1" s="37" t="s">
        <v>389</v>
      </c>
      <c r="N1" s="37" t="s">
        <v>410</v>
      </c>
      <c r="O1" s="38" t="s">
        <v>37</v>
      </c>
      <c r="P1" s="39" t="s">
        <v>411</v>
      </c>
      <c r="Q1" s="37" t="s">
        <v>38</v>
      </c>
      <c r="R1" s="37" t="s">
        <v>390</v>
      </c>
      <c r="S1" s="37" t="s">
        <v>391</v>
      </c>
      <c r="T1" s="37" t="s">
        <v>392</v>
      </c>
      <c r="U1" s="38" t="s">
        <v>393</v>
      </c>
      <c r="V1" s="37" t="s">
        <v>394</v>
      </c>
      <c r="W1" s="37" t="s">
        <v>395</v>
      </c>
      <c r="X1" s="37" t="s">
        <v>396</v>
      </c>
      <c r="Y1" s="39" t="s">
        <v>397</v>
      </c>
      <c r="Z1" s="37" t="s">
        <v>398</v>
      </c>
      <c r="AA1" s="37" t="s">
        <v>399</v>
      </c>
      <c r="AB1" s="37" t="s">
        <v>400</v>
      </c>
      <c r="AC1" s="37" t="s">
        <v>401</v>
      </c>
    </row>
    <row r="2" spans="1:29" x14ac:dyDescent="0.3">
      <c r="A2" s="4" t="s">
        <v>409</v>
      </c>
      <c r="B2" s="5">
        <v>0</v>
      </c>
      <c r="C2" s="5">
        <v>2237</v>
      </c>
      <c r="D2" s="5">
        <v>51</v>
      </c>
      <c r="E2" s="5">
        <v>2861</v>
      </c>
      <c r="F2" s="5">
        <v>5148</v>
      </c>
      <c r="G2" s="5">
        <v>32235</v>
      </c>
      <c r="H2" s="5">
        <v>37383</v>
      </c>
      <c r="I2" s="5">
        <v>110385</v>
      </c>
      <c r="J2" s="5">
        <v>12762</v>
      </c>
      <c r="K2" s="5">
        <v>54013</v>
      </c>
      <c r="L2" s="5">
        <v>177160</v>
      </c>
      <c r="M2" s="5">
        <v>209395</v>
      </c>
      <c r="N2" s="5">
        <v>73388</v>
      </c>
      <c r="O2" s="5">
        <v>3721</v>
      </c>
      <c r="P2" s="5">
        <v>20348</v>
      </c>
      <c r="Q2" s="5">
        <v>1371</v>
      </c>
      <c r="R2" s="5">
        <v>11651</v>
      </c>
      <c r="S2" s="5">
        <v>87472</v>
      </c>
      <c r="T2" s="5">
        <v>190965</v>
      </c>
      <c r="U2" s="5">
        <v>33739</v>
      </c>
      <c r="V2" s="5">
        <v>62795</v>
      </c>
      <c r="W2" s="5">
        <v>485450</v>
      </c>
      <c r="X2" s="5">
        <v>699993</v>
      </c>
      <c r="Y2" s="5">
        <v>116920</v>
      </c>
      <c r="Z2" s="5">
        <v>15591</v>
      </c>
      <c r="AA2" s="5">
        <v>801322</v>
      </c>
      <c r="AB2" s="5">
        <v>15134</v>
      </c>
      <c r="AC2" s="5">
        <v>529482</v>
      </c>
    </row>
    <row r="3" spans="1:29" x14ac:dyDescent="0.3">
      <c r="A3" s="4" t="s">
        <v>381</v>
      </c>
      <c r="B3" s="5">
        <v>5788</v>
      </c>
      <c r="C3" s="5">
        <v>3766</v>
      </c>
      <c r="D3" s="5">
        <v>3807</v>
      </c>
      <c r="E3" s="5">
        <v>1018</v>
      </c>
      <c r="F3" s="5">
        <v>14379</v>
      </c>
      <c r="G3" s="5">
        <v>523</v>
      </c>
      <c r="H3" s="5">
        <v>14902</v>
      </c>
      <c r="I3" s="5">
        <v>83476</v>
      </c>
      <c r="J3" s="5">
        <v>9651</v>
      </c>
      <c r="K3" s="5">
        <v>40846</v>
      </c>
      <c r="L3" s="5">
        <v>133973</v>
      </c>
      <c r="M3" s="5">
        <v>134496</v>
      </c>
      <c r="N3" s="5">
        <v>55498</v>
      </c>
      <c r="O3" s="5">
        <v>2814</v>
      </c>
      <c r="P3" s="5">
        <v>15388</v>
      </c>
      <c r="Q3" s="5">
        <v>1036</v>
      </c>
      <c r="R3" s="5">
        <v>8811</v>
      </c>
      <c r="S3" s="5">
        <v>66148</v>
      </c>
      <c r="T3" s="5">
        <v>144413</v>
      </c>
      <c r="U3" s="5">
        <v>25514</v>
      </c>
      <c r="V3" s="5">
        <v>47487</v>
      </c>
      <c r="W3" s="5">
        <v>367109</v>
      </c>
      <c r="X3" s="5">
        <v>515984</v>
      </c>
      <c r="Y3" s="5">
        <v>86185</v>
      </c>
      <c r="Z3" s="5">
        <v>11493</v>
      </c>
      <c r="AA3" s="5">
        <v>590676</v>
      </c>
      <c r="AB3" s="5">
        <v>13050</v>
      </c>
      <c r="AC3" s="5">
        <v>452610</v>
      </c>
    </row>
    <row r="4" spans="1:29" x14ac:dyDescent="0.3">
      <c r="A4" s="4" t="s">
        <v>5</v>
      </c>
      <c r="B4" s="5">
        <v>2558</v>
      </c>
      <c r="C4" s="5">
        <v>1041</v>
      </c>
      <c r="D4" s="5">
        <v>3630</v>
      </c>
      <c r="E4" s="5">
        <v>370</v>
      </c>
      <c r="F4" s="5">
        <v>7600</v>
      </c>
      <c r="G4" s="5">
        <v>7078</v>
      </c>
      <c r="H4" s="5">
        <v>14678</v>
      </c>
      <c r="I4" s="5">
        <v>13081</v>
      </c>
      <c r="J4" s="5">
        <v>1512</v>
      </c>
      <c r="K4" s="5">
        <v>6401</v>
      </c>
      <c r="L4" s="5">
        <v>20995</v>
      </c>
      <c r="M4" s="5">
        <v>28073</v>
      </c>
      <c r="N4" s="5">
        <v>8697</v>
      </c>
      <c r="O4" s="5">
        <v>441</v>
      </c>
      <c r="P4" s="5">
        <v>2411</v>
      </c>
      <c r="Q4" s="5">
        <v>162</v>
      </c>
      <c r="R4" s="5">
        <v>1381</v>
      </c>
      <c r="S4" s="5">
        <v>10366</v>
      </c>
      <c r="T4" s="5">
        <v>22631</v>
      </c>
      <c r="U4" s="5">
        <v>3998</v>
      </c>
      <c r="V4" s="5">
        <v>7442</v>
      </c>
      <c r="W4" s="5">
        <v>57529</v>
      </c>
      <c r="X4" s="5">
        <v>93202</v>
      </c>
      <c r="Y4" s="5">
        <v>15568</v>
      </c>
      <c r="Z4" s="5">
        <v>2076</v>
      </c>
      <c r="AA4" s="5">
        <v>106694</v>
      </c>
      <c r="AB4" s="5">
        <v>2941</v>
      </c>
      <c r="AC4" s="5">
        <v>362778</v>
      </c>
    </row>
    <row r="5" spans="1:29" x14ac:dyDescent="0.3">
      <c r="A5" s="4" t="s">
        <v>6</v>
      </c>
      <c r="B5" s="5">
        <v>6120</v>
      </c>
      <c r="C5" s="5">
        <v>549</v>
      </c>
      <c r="D5" s="5">
        <v>1709</v>
      </c>
      <c r="E5" s="5">
        <v>781</v>
      </c>
      <c r="F5" s="5">
        <v>9159</v>
      </c>
      <c r="G5" s="5">
        <v>182</v>
      </c>
      <c r="H5" s="5">
        <v>9342</v>
      </c>
      <c r="I5" s="5">
        <v>5535</v>
      </c>
      <c r="J5" s="5">
        <v>640</v>
      </c>
      <c r="K5" s="5">
        <v>2708</v>
      </c>
      <c r="L5" s="5">
        <v>8884</v>
      </c>
      <c r="M5" s="5">
        <v>9066</v>
      </c>
      <c r="N5" s="5">
        <v>3680</v>
      </c>
      <c r="O5" s="5">
        <v>187</v>
      </c>
      <c r="P5" s="5">
        <v>1020</v>
      </c>
      <c r="Q5" s="5">
        <v>69</v>
      </c>
      <c r="R5" s="5">
        <v>584</v>
      </c>
      <c r="S5" s="5">
        <v>4386</v>
      </c>
      <c r="T5" s="5">
        <v>9576</v>
      </c>
      <c r="U5" s="5">
        <v>1692</v>
      </c>
      <c r="V5" s="5">
        <v>3149</v>
      </c>
      <c r="W5" s="5">
        <v>24343</v>
      </c>
      <c r="X5" s="5">
        <v>42568</v>
      </c>
      <c r="Y5" s="5">
        <v>7110</v>
      </c>
      <c r="Z5" s="5">
        <v>948</v>
      </c>
      <c r="AA5" s="5">
        <v>48730</v>
      </c>
      <c r="AB5" s="5">
        <v>1751</v>
      </c>
      <c r="AC5" s="5">
        <v>278321</v>
      </c>
    </row>
    <row r="6" spans="1:29" x14ac:dyDescent="0.3">
      <c r="A6" s="4" t="s">
        <v>7</v>
      </c>
      <c r="B6" s="5">
        <v>4130</v>
      </c>
      <c r="C6" s="5">
        <v>494</v>
      </c>
      <c r="D6" s="5">
        <v>3923</v>
      </c>
      <c r="E6" s="5">
        <v>341</v>
      </c>
      <c r="F6" s="5">
        <v>8889</v>
      </c>
      <c r="G6" s="5">
        <v>1344</v>
      </c>
      <c r="H6" s="5">
        <v>10232</v>
      </c>
      <c r="I6" s="5">
        <v>2419</v>
      </c>
      <c r="J6" s="5">
        <v>280</v>
      </c>
      <c r="K6" s="5">
        <v>1184</v>
      </c>
      <c r="L6" s="5">
        <v>3882</v>
      </c>
      <c r="M6" s="5">
        <v>5226</v>
      </c>
      <c r="N6" s="5">
        <v>1608</v>
      </c>
      <c r="O6" s="5">
        <v>82</v>
      </c>
      <c r="P6" s="5">
        <v>446</v>
      </c>
      <c r="Q6" s="5">
        <v>30</v>
      </c>
      <c r="R6" s="5">
        <v>255</v>
      </c>
      <c r="S6" s="5">
        <v>1917</v>
      </c>
      <c r="T6" s="5">
        <v>4184</v>
      </c>
      <c r="U6" s="5">
        <v>739</v>
      </c>
      <c r="V6" s="5">
        <v>1376</v>
      </c>
      <c r="W6" s="5">
        <v>10637</v>
      </c>
      <c r="X6" s="5">
        <v>24751</v>
      </c>
      <c r="Y6" s="5">
        <v>4134</v>
      </c>
      <c r="Z6" s="5">
        <v>551</v>
      </c>
      <c r="AA6" s="5">
        <v>28334</v>
      </c>
      <c r="AB6" s="5">
        <v>916</v>
      </c>
      <c r="AC6" s="5">
        <v>309305</v>
      </c>
    </row>
    <row r="7" spans="1:29" s="2" customFormat="1" x14ac:dyDescent="0.3">
      <c r="A7" s="18" t="s">
        <v>405</v>
      </c>
      <c r="B7" s="19">
        <v>18596</v>
      </c>
      <c r="C7" s="19">
        <v>8087</v>
      </c>
      <c r="D7" s="19">
        <v>13120</v>
      </c>
      <c r="E7" s="19">
        <v>5371</v>
      </c>
      <c r="F7" s="19">
        <v>45175</v>
      </c>
      <c r="G7" s="19">
        <v>41362</v>
      </c>
      <c r="H7" s="19">
        <v>86537</v>
      </c>
      <c r="I7" s="19">
        <v>214896</v>
      </c>
      <c r="J7" s="19">
        <v>24845</v>
      </c>
      <c r="K7" s="19">
        <v>105152</v>
      </c>
      <c r="L7" s="19">
        <v>344894</v>
      </c>
      <c r="M7" s="19">
        <v>386256</v>
      </c>
      <c r="N7" s="19">
        <v>142871</v>
      </c>
      <c r="O7" s="19">
        <v>7245</v>
      </c>
      <c r="P7" s="19">
        <v>39613</v>
      </c>
      <c r="Q7" s="19">
        <v>2668</v>
      </c>
      <c r="R7" s="19">
        <v>22682</v>
      </c>
      <c r="S7" s="19">
        <v>170289</v>
      </c>
      <c r="T7" s="19">
        <v>371769</v>
      </c>
      <c r="U7" s="19">
        <v>65682</v>
      </c>
      <c r="V7" s="19">
        <v>122249</v>
      </c>
      <c r="W7" s="19">
        <v>945068</v>
      </c>
      <c r="X7" s="19">
        <v>1376498</v>
      </c>
      <c r="Y7" s="19">
        <v>229917</v>
      </c>
      <c r="Z7" s="19">
        <v>30659</v>
      </c>
      <c r="AA7" s="19">
        <v>1575756</v>
      </c>
      <c r="AB7" s="19">
        <v>33792</v>
      </c>
      <c r="AC7" s="19">
        <f>AVERAGE(AC2:AC6)</f>
        <v>386499.2</v>
      </c>
    </row>
    <row r="8" spans="1:29" x14ac:dyDescent="0.3">
      <c r="A8" s="27" t="s">
        <v>9</v>
      </c>
      <c r="B8" s="28">
        <v>17601</v>
      </c>
      <c r="C8" s="28">
        <v>7218</v>
      </c>
      <c r="D8" s="28">
        <v>881</v>
      </c>
      <c r="E8" s="28">
        <v>23</v>
      </c>
      <c r="F8" s="28">
        <v>25724</v>
      </c>
      <c r="G8" s="28">
        <v>6907</v>
      </c>
      <c r="H8" s="28">
        <v>32630</v>
      </c>
      <c r="I8" s="28">
        <v>23001</v>
      </c>
      <c r="J8" s="28">
        <v>2659</v>
      </c>
      <c r="K8" s="28">
        <v>11255</v>
      </c>
      <c r="L8" s="28">
        <v>36914</v>
      </c>
      <c r="M8" s="28">
        <v>43821</v>
      </c>
      <c r="N8" s="28">
        <v>15292</v>
      </c>
      <c r="O8" s="28">
        <v>775</v>
      </c>
      <c r="P8" s="28">
        <v>4240</v>
      </c>
      <c r="Q8" s="28">
        <v>286</v>
      </c>
      <c r="R8" s="28">
        <v>2428</v>
      </c>
      <c r="S8" s="28">
        <v>18226</v>
      </c>
      <c r="T8" s="28">
        <v>39791</v>
      </c>
      <c r="U8" s="28">
        <v>7030</v>
      </c>
      <c r="V8" s="28">
        <v>13084</v>
      </c>
      <c r="W8" s="28">
        <v>101152</v>
      </c>
      <c r="X8" s="28">
        <v>170697</v>
      </c>
      <c r="Y8" s="28">
        <v>28512</v>
      </c>
      <c r="Z8" s="28">
        <v>3802</v>
      </c>
      <c r="AA8" s="28">
        <v>195406</v>
      </c>
      <c r="AB8" s="28">
        <v>6874</v>
      </c>
      <c r="AC8" s="28">
        <v>284287</v>
      </c>
    </row>
    <row r="9" spans="1:29" x14ac:dyDescent="0.3">
      <c r="A9" s="27" t="s">
        <v>10</v>
      </c>
      <c r="B9" s="28">
        <v>4804</v>
      </c>
      <c r="C9" s="28">
        <v>1824</v>
      </c>
      <c r="D9" s="28">
        <v>460</v>
      </c>
      <c r="E9" s="28">
        <v>40</v>
      </c>
      <c r="F9" s="28">
        <v>7128</v>
      </c>
      <c r="G9" s="28">
        <v>32</v>
      </c>
      <c r="H9" s="28">
        <v>7160</v>
      </c>
      <c r="I9" s="28">
        <v>5906</v>
      </c>
      <c r="J9" s="28">
        <v>683</v>
      </c>
      <c r="K9" s="28">
        <v>2890</v>
      </c>
      <c r="L9" s="28">
        <v>9478</v>
      </c>
      <c r="M9" s="28">
        <v>9510</v>
      </c>
      <c r="N9" s="28">
        <v>3926</v>
      </c>
      <c r="O9" s="28">
        <v>199</v>
      </c>
      <c r="P9" s="28">
        <v>1089</v>
      </c>
      <c r="Q9" s="28">
        <v>73</v>
      </c>
      <c r="R9" s="28">
        <v>623</v>
      </c>
      <c r="S9" s="28">
        <v>4680</v>
      </c>
      <c r="T9" s="28">
        <v>10217</v>
      </c>
      <c r="U9" s="28">
        <v>1805</v>
      </c>
      <c r="V9" s="28">
        <v>3360</v>
      </c>
      <c r="W9" s="28">
        <v>25972</v>
      </c>
      <c r="X9" s="28">
        <v>42610</v>
      </c>
      <c r="Y9" s="28">
        <v>7117</v>
      </c>
      <c r="Z9" s="28">
        <v>949</v>
      </c>
      <c r="AA9" s="28">
        <v>48778</v>
      </c>
      <c r="AB9" s="28">
        <v>2261</v>
      </c>
      <c r="AC9" s="28">
        <v>215775</v>
      </c>
    </row>
    <row r="10" spans="1:29" x14ac:dyDescent="0.3">
      <c r="A10" s="27" t="s">
        <v>11</v>
      </c>
      <c r="B10" s="28">
        <v>3237</v>
      </c>
      <c r="C10" s="28">
        <v>1331</v>
      </c>
      <c r="D10" s="28">
        <v>222</v>
      </c>
      <c r="E10" s="28">
        <v>109</v>
      </c>
      <c r="F10" s="28">
        <v>4899</v>
      </c>
      <c r="G10" s="28">
        <v>61</v>
      </c>
      <c r="H10" s="28">
        <v>4960</v>
      </c>
      <c r="I10" s="28">
        <v>2981</v>
      </c>
      <c r="J10" s="28">
        <v>345</v>
      </c>
      <c r="K10" s="28">
        <v>1458</v>
      </c>
      <c r="L10" s="28">
        <v>4784</v>
      </c>
      <c r="M10" s="28">
        <v>4845</v>
      </c>
      <c r="N10" s="28">
        <v>1982</v>
      </c>
      <c r="O10" s="28">
        <v>100</v>
      </c>
      <c r="P10" s="28">
        <v>549</v>
      </c>
      <c r="Q10" s="28">
        <v>37</v>
      </c>
      <c r="R10" s="28">
        <v>315</v>
      </c>
      <c r="S10" s="28">
        <v>2362</v>
      </c>
      <c r="T10" s="28">
        <v>5156</v>
      </c>
      <c r="U10" s="28">
        <v>911</v>
      </c>
      <c r="V10" s="28">
        <v>1696</v>
      </c>
      <c r="W10" s="28">
        <v>13108</v>
      </c>
      <c r="X10" s="28">
        <v>22852</v>
      </c>
      <c r="Y10" s="28">
        <v>3817</v>
      </c>
      <c r="Z10" s="28">
        <v>509</v>
      </c>
      <c r="AA10" s="28">
        <v>26160</v>
      </c>
      <c r="AB10" s="28">
        <v>1788</v>
      </c>
      <c r="AC10" s="28">
        <v>146318</v>
      </c>
    </row>
    <row r="11" spans="1:29" x14ac:dyDescent="0.3">
      <c r="A11" s="27" t="s">
        <v>12</v>
      </c>
      <c r="B11" s="28">
        <v>10572</v>
      </c>
      <c r="C11" s="28">
        <v>3173</v>
      </c>
      <c r="D11" s="28">
        <v>838</v>
      </c>
      <c r="E11" s="28">
        <v>80</v>
      </c>
      <c r="F11" s="28">
        <v>14664</v>
      </c>
      <c r="G11" s="28">
        <v>164</v>
      </c>
      <c r="H11" s="28">
        <v>14827</v>
      </c>
      <c r="I11" s="28">
        <v>11733</v>
      </c>
      <c r="J11" s="28">
        <v>1356</v>
      </c>
      <c r="K11" s="28">
        <v>5741</v>
      </c>
      <c r="L11" s="28">
        <v>18830</v>
      </c>
      <c r="M11" s="28">
        <v>18994</v>
      </c>
      <c r="N11" s="28">
        <v>7800</v>
      </c>
      <c r="O11" s="28">
        <v>396</v>
      </c>
      <c r="P11" s="28">
        <v>2163</v>
      </c>
      <c r="Q11" s="28">
        <v>146</v>
      </c>
      <c r="R11" s="28">
        <v>1238</v>
      </c>
      <c r="S11" s="28">
        <v>9297</v>
      </c>
      <c r="T11" s="28">
        <v>20298</v>
      </c>
      <c r="U11" s="28">
        <v>3586</v>
      </c>
      <c r="V11" s="28">
        <v>6674</v>
      </c>
      <c r="W11" s="28">
        <v>51598</v>
      </c>
      <c r="X11" s="28">
        <v>85256</v>
      </c>
      <c r="Y11" s="28">
        <v>14240</v>
      </c>
      <c r="Z11" s="28">
        <v>1899</v>
      </c>
      <c r="AA11" s="28">
        <v>97597</v>
      </c>
      <c r="AB11" s="28">
        <v>4689</v>
      </c>
      <c r="AC11" s="28">
        <v>208158</v>
      </c>
    </row>
    <row r="12" spans="1:29" x14ac:dyDescent="0.3">
      <c r="A12" s="27" t="s">
        <v>380</v>
      </c>
      <c r="B12" s="28">
        <v>17260</v>
      </c>
      <c r="C12" s="28">
        <v>9670</v>
      </c>
      <c r="D12" s="28">
        <v>1247</v>
      </c>
      <c r="E12" s="28">
        <v>40</v>
      </c>
      <c r="F12" s="28">
        <v>28217</v>
      </c>
      <c r="G12" s="28">
        <v>415</v>
      </c>
      <c r="H12" s="28">
        <v>28632</v>
      </c>
      <c r="I12" s="28">
        <v>13970</v>
      </c>
      <c r="J12" s="28">
        <v>1615</v>
      </c>
      <c r="K12" s="28">
        <v>6836</v>
      </c>
      <c r="L12" s="28">
        <v>22421</v>
      </c>
      <c r="M12" s="28">
        <v>22836</v>
      </c>
      <c r="N12" s="28">
        <v>9288</v>
      </c>
      <c r="O12" s="28">
        <v>471</v>
      </c>
      <c r="P12" s="28">
        <v>2575</v>
      </c>
      <c r="Q12" s="28">
        <v>173</v>
      </c>
      <c r="R12" s="28">
        <v>1475</v>
      </c>
      <c r="S12" s="28">
        <v>11070</v>
      </c>
      <c r="T12" s="28">
        <v>24168</v>
      </c>
      <c r="U12" s="28">
        <v>4270</v>
      </c>
      <c r="V12" s="28">
        <v>7947</v>
      </c>
      <c r="W12" s="28">
        <v>61437</v>
      </c>
      <c r="X12" s="28">
        <v>112490</v>
      </c>
      <c r="Y12" s="28">
        <v>18789</v>
      </c>
      <c r="Z12" s="28">
        <v>2506</v>
      </c>
      <c r="AA12" s="28">
        <v>128774</v>
      </c>
      <c r="AB12" s="28">
        <v>4952</v>
      </c>
      <c r="AC12" s="28">
        <v>260040</v>
      </c>
    </row>
    <row r="13" spans="1:29" s="2" customFormat="1" x14ac:dyDescent="0.3">
      <c r="A13" s="7" t="s">
        <v>408</v>
      </c>
      <c r="B13" s="8">
        <v>53474</v>
      </c>
      <c r="C13" s="8">
        <v>23216</v>
      </c>
      <c r="D13" s="8">
        <v>3648</v>
      </c>
      <c r="E13" s="8">
        <v>292</v>
      </c>
      <c r="F13" s="8">
        <v>80632</v>
      </c>
      <c r="G13" s="8">
        <v>7579</v>
      </c>
      <c r="H13" s="8">
        <v>88209</v>
      </c>
      <c r="I13" s="8">
        <v>57591</v>
      </c>
      <c r="J13" s="8">
        <v>6658</v>
      </c>
      <c r="K13" s="8">
        <v>28180</v>
      </c>
      <c r="L13" s="8">
        <v>92427</v>
      </c>
      <c r="M13" s="8">
        <v>100006</v>
      </c>
      <c r="N13" s="8">
        <v>38288</v>
      </c>
      <c r="O13" s="8">
        <v>1941</v>
      </c>
      <c r="P13" s="8">
        <v>10616</v>
      </c>
      <c r="Q13" s="8">
        <v>715</v>
      </c>
      <c r="R13" s="8">
        <v>6079</v>
      </c>
      <c r="S13" s="8">
        <v>45635</v>
      </c>
      <c r="T13" s="8">
        <v>99630</v>
      </c>
      <c r="U13" s="8">
        <v>17602</v>
      </c>
      <c r="V13" s="8">
        <v>32761</v>
      </c>
      <c r="W13" s="8">
        <v>253267</v>
      </c>
      <c r="X13" s="8">
        <v>433905</v>
      </c>
      <c r="Y13" s="8">
        <v>72475</v>
      </c>
      <c r="Z13" s="8">
        <v>9665</v>
      </c>
      <c r="AA13" s="8">
        <v>496715</v>
      </c>
      <c r="AB13" s="8">
        <v>20564</v>
      </c>
      <c r="AC13" s="8">
        <f>AVERAGE(AC8:AC12)</f>
        <v>222915.6</v>
      </c>
    </row>
    <row r="14" spans="1:29" x14ac:dyDescent="0.3">
      <c r="A14" s="9" t="s">
        <v>13</v>
      </c>
      <c r="B14" s="10">
        <v>13103</v>
      </c>
      <c r="C14" s="10">
        <v>14680</v>
      </c>
      <c r="D14" s="10">
        <v>3029</v>
      </c>
      <c r="E14" s="10">
        <v>328</v>
      </c>
      <c r="F14" s="10">
        <v>31139</v>
      </c>
      <c r="G14" s="10">
        <v>534</v>
      </c>
      <c r="H14" s="10">
        <v>31673</v>
      </c>
      <c r="I14" s="10">
        <v>62945</v>
      </c>
      <c r="J14" s="10">
        <v>7277</v>
      </c>
      <c r="K14" s="10">
        <v>30800</v>
      </c>
      <c r="L14" s="10">
        <v>101022</v>
      </c>
      <c r="M14" s="10">
        <v>101555</v>
      </c>
      <c r="N14" s="10">
        <v>41848</v>
      </c>
      <c r="O14" s="10">
        <v>2122</v>
      </c>
      <c r="P14" s="10">
        <v>11603</v>
      </c>
      <c r="Q14" s="10">
        <v>781</v>
      </c>
      <c r="R14" s="10">
        <v>6644</v>
      </c>
      <c r="S14" s="10">
        <v>49879</v>
      </c>
      <c r="T14" s="10">
        <v>108894</v>
      </c>
      <c r="U14" s="10">
        <v>19239</v>
      </c>
      <c r="V14" s="10">
        <v>35808</v>
      </c>
      <c r="W14" s="10">
        <v>276817</v>
      </c>
      <c r="X14" s="10">
        <v>409512</v>
      </c>
      <c r="Y14" s="10">
        <v>68401</v>
      </c>
      <c r="Z14" s="10">
        <v>9121</v>
      </c>
      <c r="AA14" s="10">
        <v>468791</v>
      </c>
      <c r="AB14" s="10">
        <v>10888</v>
      </c>
      <c r="AC14" s="10">
        <v>430563</v>
      </c>
    </row>
    <row r="15" spans="1:29" x14ac:dyDescent="0.3">
      <c r="A15" s="9" t="s">
        <v>14</v>
      </c>
      <c r="B15" s="10">
        <v>7721</v>
      </c>
      <c r="C15" s="10">
        <v>6507</v>
      </c>
      <c r="D15" s="10">
        <v>1578</v>
      </c>
      <c r="E15" s="10">
        <v>70</v>
      </c>
      <c r="F15" s="10">
        <v>15875</v>
      </c>
      <c r="G15" s="10">
        <v>159</v>
      </c>
      <c r="H15" s="10">
        <v>16034</v>
      </c>
      <c r="I15" s="10">
        <v>10317</v>
      </c>
      <c r="J15" s="10">
        <v>1193</v>
      </c>
      <c r="K15" s="10">
        <v>5048</v>
      </c>
      <c r="L15" s="10">
        <v>16558</v>
      </c>
      <c r="M15" s="10">
        <v>16717</v>
      </c>
      <c r="N15" s="10">
        <v>6859</v>
      </c>
      <c r="O15" s="10">
        <v>348</v>
      </c>
      <c r="P15" s="10">
        <v>1902</v>
      </c>
      <c r="Q15" s="10">
        <v>128</v>
      </c>
      <c r="R15" s="10">
        <v>1089</v>
      </c>
      <c r="S15" s="10">
        <v>8176</v>
      </c>
      <c r="T15" s="10">
        <v>17849</v>
      </c>
      <c r="U15" s="10">
        <v>3153</v>
      </c>
      <c r="V15" s="10">
        <v>5869</v>
      </c>
      <c r="W15" s="10">
        <v>45373</v>
      </c>
      <c r="X15" s="10">
        <v>77966</v>
      </c>
      <c r="Y15" s="10">
        <v>13023</v>
      </c>
      <c r="Z15" s="10">
        <v>1737</v>
      </c>
      <c r="AA15" s="10">
        <v>89252</v>
      </c>
      <c r="AB15" s="10">
        <v>3269</v>
      </c>
      <c r="AC15" s="10">
        <v>273034</v>
      </c>
    </row>
    <row r="16" spans="1:29" x14ac:dyDescent="0.3">
      <c r="A16" s="9" t="s">
        <v>15</v>
      </c>
      <c r="B16" s="10">
        <v>8165</v>
      </c>
      <c r="C16" s="10">
        <v>8642</v>
      </c>
      <c r="D16" s="10">
        <v>2882</v>
      </c>
      <c r="E16" s="10">
        <v>63</v>
      </c>
      <c r="F16" s="10">
        <v>19751</v>
      </c>
      <c r="G16" s="10">
        <v>30</v>
      </c>
      <c r="H16" s="10">
        <v>19781</v>
      </c>
      <c r="I16" s="10">
        <v>9799</v>
      </c>
      <c r="J16" s="10">
        <v>1133</v>
      </c>
      <c r="K16" s="10">
        <v>4795</v>
      </c>
      <c r="L16" s="10">
        <v>15726</v>
      </c>
      <c r="M16" s="10">
        <v>15756</v>
      </c>
      <c r="N16" s="10">
        <v>6515</v>
      </c>
      <c r="O16" s="10">
        <v>330</v>
      </c>
      <c r="P16" s="10">
        <v>1806</v>
      </c>
      <c r="Q16" s="10">
        <v>122</v>
      </c>
      <c r="R16" s="10">
        <v>1034</v>
      </c>
      <c r="S16" s="10">
        <v>7765</v>
      </c>
      <c r="T16" s="10">
        <v>16952</v>
      </c>
      <c r="U16" s="10">
        <v>2995</v>
      </c>
      <c r="V16" s="10">
        <v>5574</v>
      </c>
      <c r="W16" s="10">
        <v>43093</v>
      </c>
      <c r="X16" s="10">
        <v>78600</v>
      </c>
      <c r="Y16" s="10">
        <v>13129</v>
      </c>
      <c r="Z16" s="10">
        <v>1751</v>
      </c>
      <c r="AA16" s="10">
        <v>89978</v>
      </c>
      <c r="AB16" s="10">
        <v>3100</v>
      </c>
      <c r="AC16" s="10">
        <v>290228</v>
      </c>
    </row>
    <row r="17" spans="1:29" x14ac:dyDescent="0.3">
      <c r="A17" s="9" t="s">
        <v>16</v>
      </c>
      <c r="B17" s="10">
        <v>14677</v>
      </c>
      <c r="C17" s="10">
        <v>7579</v>
      </c>
      <c r="D17" s="10">
        <v>1753</v>
      </c>
      <c r="E17" s="10">
        <v>106</v>
      </c>
      <c r="F17" s="10">
        <v>24115</v>
      </c>
      <c r="G17" s="10">
        <v>253</v>
      </c>
      <c r="H17" s="10">
        <v>24368</v>
      </c>
      <c r="I17" s="10">
        <v>15942</v>
      </c>
      <c r="J17" s="10">
        <v>1843</v>
      </c>
      <c r="K17" s="10">
        <v>7801</v>
      </c>
      <c r="L17" s="10">
        <v>25586</v>
      </c>
      <c r="M17" s="10">
        <v>25839</v>
      </c>
      <c r="N17" s="10">
        <v>10599</v>
      </c>
      <c r="O17" s="10">
        <v>537</v>
      </c>
      <c r="P17" s="10">
        <v>2939</v>
      </c>
      <c r="Q17" s="10">
        <v>198</v>
      </c>
      <c r="R17" s="10">
        <v>1683</v>
      </c>
      <c r="S17" s="10">
        <v>12633</v>
      </c>
      <c r="T17" s="10">
        <v>27579</v>
      </c>
      <c r="U17" s="10">
        <v>4873</v>
      </c>
      <c r="V17" s="10">
        <v>9069</v>
      </c>
      <c r="W17" s="10">
        <v>70109</v>
      </c>
      <c r="X17" s="10">
        <v>120063</v>
      </c>
      <c r="Y17" s="10">
        <v>20054</v>
      </c>
      <c r="Z17" s="10">
        <v>2674</v>
      </c>
      <c r="AA17" s="10">
        <v>137443</v>
      </c>
      <c r="AB17" s="10">
        <v>4790</v>
      </c>
      <c r="AC17" s="10">
        <v>286910</v>
      </c>
    </row>
    <row r="18" spans="1:29" x14ac:dyDescent="0.3">
      <c r="A18" s="9" t="s">
        <v>17</v>
      </c>
      <c r="B18" s="10">
        <v>7748</v>
      </c>
      <c r="C18" s="10">
        <v>6910</v>
      </c>
      <c r="D18" s="10">
        <v>1511</v>
      </c>
      <c r="E18" s="10">
        <v>46</v>
      </c>
      <c r="F18" s="10">
        <v>16215</v>
      </c>
      <c r="G18" s="10">
        <v>104</v>
      </c>
      <c r="H18" s="10">
        <v>16319</v>
      </c>
      <c r="I18" s="10">
        <v>17432</v>
      </c>
      <c r="J18" s="10">
        <v>2015</v>
      </c>
      <c r="K18" s="10">
        <v>8530</v>
      </c>
      <c r="L18" s="10">
        <v>27977</v>
      </c>
      <c r="M18" s="10">
        <v>28081</v>
      </c>
      <c r="N18" s="10">
        <v>11589</v>
      </c>
      <c r="O18" s="10">
        <v>588</v>
      </c>
      <c r="P18" s="10">
        <v>3213</v>
      </c>
      <c r="Q18" s="10">
        <v>216</v>
      </c>
      <c r="R18" s="10">
        <v>1840</v>
      </c>
      <c r="S18" s="10">
        <v>13813</v>
      </c>
      <c r="T18" s="10">
        <v>30157</v>
      </c>
      <c r="U18" s="10">
        <v>5328</v>
      </c>
      <c r="V18" s="10">
        <v>9917</v>
      </c>
      <c r="W18" s="10">
        <v>76662</v>
      </c>
      <c r="X18" s="10">
        <v>120958</v>
      </c>
      <c r="Y18" s="10">
        <v>20204</v>
      </c>
      <c r="Z18" s="10">
        <v>2694</v>
      </c>
      <c r="AA18" s="10">
        <v>138467</v>
      </c>
      <c r="AB18" s="10">
        <v>4296</v>
      </c>
      <c r="AC18" s="10">
        <v>322299</v>
      </c>
    </row>
    <row r="19" spans="1:29" s="2" customFormat="1" x14ac:dyDescent="0.3">
      <c r="A19" s="12" t="s">
        <v>404</v>
      </c>
      <c r="B19" s="13">
        <v>51414</v>
      </c>
      <c r="C19" s="13">
        <v>44318</v>
      </c>
      <c r="D19" s="13">
        <v>10753</v>
      </c>
      <c r="E19" s="13">
        <v>613</v>
      </c>
      <c r="F19" s="13">
        <v>107095</v>
      </c>
      <c r="G19" s="13">
        <v>1080</v>
      </c>
      <c r="H19" s="13">
        <v>108175</v>
      </c>
      <c r="I19" s="13">
        <v>116435</v>
      </c>
      <c r="J19" s="13">
        <v>13461</v>
      </c>
      <c r="K19" s="13">
        <v>56974</v>
      </c>
      <c r="L19" s="13">
        <v>186869</v>
      </c>
      <c r="M19" s="13">
        <v>187948</v>
      </c>
      <c r="N19" s="13">
        <v>77410</v>
      </c>
      <c r="O19" s="13">
        <v>3925</v>
      </c>
      <c r="P19" s="13">
        <v>21463</v>
      </c>
      <c r="Q19" s="13">
        <v>1445</v>
      </c>
      <c r="R19" s="13">
        <v>12290</v>
      </c>
      <c r="S19" s="13">
        <v>92266</v>
      </c>
      <c r="T19" s="13">
        <v>201431</v>
      </c>
      <c r="U19" s="13">
        <v>35588</v>
      </c>
      <c r="V19" s="13">
        <v>66237</v>
      </c>
      <c r="W19" s="13">
        <v>512054</v>
      </c>
      <c r="X19" s="13">
        <v>807099</v>
      </c>
      <c r="Y19" s="13">
        <v>134811</v>
      </c>
      <c r="Z19" s="13">
        <v>17977</v>
      </c>
      <c r="AA19" s="13">
        <v>923931</v>
      </c>
      <c r="AB19" s="13">
        <v>26343</v>
      </c>
      <c r="AC19" s="13">
        <f>AVERAGE(AC14:AC18)</f>
        <v>320606.8</v>
      </c>
    </row>
    <row r="20" spans="1:29" x14ac:dyDescent="0.3">
      <c r="A20" s="31" t="s">
        <v>18</v>
      </c>
      <c r="B20" s="32">
        <v>8900</v>
      </c>
      <c r="C20" s="32">
        <v>3312</v>
      </c>
      <c r="D20" s="32">
        <v>1535</v>
      </c>
      <c r="E20" s="32">
        <v>46</v>
      </c>
      <c r="F20" s="32">
        <v>13794</v>
      </c>
      <c r="G20" s="32">
        <v>197</v>
      </c>
      <c r="H20" s="32">
        <v>13990</v>
      </c>
      <c r="I20" s="32">
        <v>14024</v>
      </c>
      <c r="J20" s="32">
        <v>1621</v>
      </c>
      <c r="K20" s="32">
        <v>6862</v>
      </c>
      <c r="L20" s="32">
        <v>22507</v>
      </c>
      <c r="M20" s="32">
        <v>22703</v>
      </c>
      <c r="N20" s="32">
        <v>9323</v>
      </c>
      <c r="O20" s="32">
        <v>473</v>
      </c>
      <c r="P20" s="32">
        <v>2585</v>
      </c>
      <c r="Q20" s="32">
        <v>174</v>
      </c>
      <c r="R20" s="32">
        <v>1480</v>
      </c>
      <c r="S20" s="32">
        <v>11113</v>
      </c>
      <c r="T20" s="32">
        <v>24261</v>
      </c>
      <c r="U20" s="32">
        <v>4286</v>
      </c>
      <c r="V20" s="32">
        <v>7978</v>
      </c>
      <c r="W20" s="32">
        <v>61673</v>
      </c>
      <c r="X20" s="32">
        <v>98169</v>
      </c>
      <c r="Y20" s="32">
        <v>16397</v>
      </c>
      <c r="Z20" s="32">
        <v>2187</v>
      </c>
      <c r="AA20" s="32">
        <v>112380</v>
      </c>
      <c r="AB20" s="32">
        <v>4173</v>
      </c>
      <c r="AC20" s="32">
        <v>269302</v>
      </c>
    </row>
    <row r="21" spans="1:29" x14ac:dyDescent="0.3">
      <c r="A21" s="31" t="s">
        <v>19</v>
      </c>
      <c r="B21" s="32">
        <v>6871</v>
      </c>
      <c r="C21" s="32">
        <v>1220</v>
      </c>
      <c r="D21" s="32">
        <v>1970</v>
      </c>
      <c r="E21" s="32">
        <v>40</v>
      </c>
      <c r="F21" s="32">
        <v>10101</v>
      </c>
      <c r="G21" s="32">
        <v>91</v>
      </c>
      <c r="H21" s="32">
        <v>10192</v>
      </c>
      <c r="I21" s="32">
        <v>4531</v>
      </c>
      <c r="J21" s="32">
        <v>524</v>
      </c>
      <c r="K21" s="32">
        <v>2217</v>
      </c>
      <c r="L21" s="32">
        <v>7272</v>
      </c>
      <c r="M21" s="32">
        <v>7363</v>
      </c>
      <c r="N21" s="32">
        <v>3013</v>
      </c>
      <c r="O21" s="32">
        <v>153</v>
      </c>
      <c r="P21" s="32">
        <v>835</v>
      </c>
      <c r="Q21" s="32">
        <v>56</v>
      </c>
      <c r="R21" s="32">
        <v>478</v>
      </c>
      <c r="S21" s="32">
        <v>3591</v>
      </c>
      <c r="T21" s="32">
        <v>7839</v>
      </c>
      <c r="U21" s="32">
        <v>1385</v>
      </c>
      <c r="V21" s="32">
        <v>2578</v>
      </c>
      <c r="W21" s="32">
        <v>19927</v>
      </c>
      <c r="X21" s="32">
        <v>37391</v>
      </c>
      <c r="Y21" s="32">
        <v>6246</v>
      </c>
      <c r="Z21" s="32">
        <v>833</v>
      </c>
      <c r="AA21" s="32">
        <v>42804</v>
      </c>
      <c r="AB21" s="32">
        <v>2133</v>
      </c>
      <c r="AC21" s="32">
        <v>200692</v>
      </c>
    </row>
    <row r="22" spans="1:29" x14ac:dyDescent="0.3">
      <c r="A22" s="31" t="s">
        <v>20</v>
      </c>
      <c r="B22" s="32">
        <v>6205</v>
      </c>
      <c r="C22" s="32">
        <v>1211</v>
      </c>
      <c r="D22" s="32">
        <v>366</v>
      </c>
      <c r="E22" s="32">
        <v>25</v>
      </c>
      <c r="F22" s="32">
        <v>7807</v>
      </c>
      <c r="G22" s="32">
        <v>107</v>
      </c>
      <c r="H22" s="32">
        <v>7914</v>
      </c>
      <c r="I22" s="32">
        <v>4580</v>
      </c>
      <c r="J22" s="32">
        <v>529</v>
      </c>
      <c r="K22" s="32">
        <v>2241</v>
      </c>
      <c r="L22" s="32">
        <v>7350</v>
      </c>
      <c r="M22" s="32">
        <v>7457</v>
      </c>
      <c r="N22" s="32">
        <v>3045</v>
      </c>
      <c r="O22" s="32">
        <v>154</v>
      </c>
      <c r="P22" s="32">
        <v>844</v>
      </c>
      <c r="Q22" s="32">
        <v>57</v>
      </c>
      <c r="R22" s="32">
        <v>483</v>
      </c>
      <c r="S22" s="32">
        <v>3629</v>
      </c>
      <c r="T22" s="32">
        <v>7923</v>
      </c>
      <c r="U22" s="32">
        <v>1400</v>
      </c>
      <c r="V22" s="32">
        <v>2605</v>
      </c>
      <c r="W22" s="32">
        <v>20141</v>
      </c>
      <c r="X22" s="32">
        <v>35405</v>
      </c>
      <c r="Y22" s="32">
        <v>5914</v>
      </c>
      <c r="Z22" s="32">
        <v>789</v>
      </c>
      <c r="AA22" s="32">
        <v>40530</v>
      </c>
      <c r="AB22" s="32">
        <v>2033</v>
      </c>
      <c r="AC22" s="32">
        <v>199349</v>
      </c>
    </row>
    <row r="23" spans="1:29" x14ac:dyDescent="0.3">
      <c r="A23" s="31" t="s">
        <v>21</v>
      </c>
      <c r="B23" s="32">
        <v>4513</v>
      </c>
      <c r="C23" s="32">
        <v>642</v>
      </c>
      <c r="D23" s="32">
        <v>162</v>
      </c>
      <c r="E23" s="32">
        <v>30</v>
      </c>
      <c r="F23" s="32">
        <v>5348</v>
      </c>
      <c r="G23" s="32">
        <v>25</v>
      </c>
      <c r="H23" s="32">
        <v>5373</v>
      </c>
      <c r="I23" s="32">
        <v>2183</v>
      </c>
      <c r="J23" s="32">
        <v>252</v>
      </c>
      <c r="K23" s="32">
        <v>1068</v>
      </c>
      <c r="L23" s="32">
        <v>3504</v>
      </c>
      <c r="M23" s="32">
        <v>3529</v>
      </c>
      <c r="N23" s="32">
        <v>1451</v>
      </c>
      <c r="O23" s="32">
        <v>74</v>
      </c>
      <c r="P23" s="32">
        <v>402</v>
      </c>
      <c r="Q23" s="32">
        <v>27</v>
      </c>
      <c r="R23" s="32">
        <v>230</v>
      </c>
      <c r="S23" s="32">
        <v>1730</v>
      </c>
      <c r="T23" s="32">
        <v>3777</v>
      </c>
      <c r="U23" s="32">
        <v>667</v>
      </c>
      <c r="V23" s="32">
        <v>1242</v>
      </c>
      <c r="W23" s="32">
        <v>9601</v>
      </c>
      <c r="X23" s="32">
        <v>18478</v>
      </c>
      <c r="Y23" s="32">
        <v>3086</v>
      </c>
      <c r="Z23" s="32">
        <v>412</v>
      </c>
      <c r="AA23" s="32">
        <v>21153</v>
      </c>
      <c r="AB23" s="32">
        <v>1274</v>
      </c>
      <c r="AC23" s="32">
        <v>166011</v>
      </c>
    </row>
    <row r="24" spans="1:29" x14ac:dyDescent="0.3">
      <c r="A24" s="31" t="s">
        <v>22</v>
      </c>
      <c r="B24" s="32">
        <v>9379</v>
      </c>
      <c r="C24" s="32">
        <v>2813</v>
      </c>
      <c r="D24" s="32">
        <v>530</v>
      </c>
      <c r="E24" s="32">
        <v>49</v>
      </c>
      <c r="F24" s="32">
        <v>12772</v>
      </c>
      <c r="G24" s="32">
        <v>56</v>
      </c>
      <c r="H24" s="32">
        <v>12828</v>
      </c>
      <c r="I24" s="32">
        <v>6059</v>
      </c>
      <c r="J24" s="32">
        <v>700</v>
      </c>
      <c r="K24" s="32">
        <v>2965</v>
      </c>
      <c r="L24" s="32">
        <v>9724</v>
      </c>
      <c r="M24" s="32">
        <v>9780</v>
      </c>
      <c r="N24" s="32">
        <v>4028</v>
      </c>
      <c r="O24" s="32">
        <v>204</v>
      </c>
      <c r="P24" s="32">
        <v>1117</v>
      </c>
      <c r="Q24" s="32">
        <v>75</v>
      </c>
      <c r="R24" s="32">
        <v>640</v>
      </c>
      <c r="S24" s="32">
        <v>4801</v>
      </c>
      <c r="T24" s="32">
        <v>10482</v>
      </c>
      <c r="U24" s="32">
        <v>1852</v>
      </c>
      <c r="V24" s="32">
        <v>3447</v>
      </c>
      <c r="W24" s="32">
        <v>26645</v>
      </c>
      <c r="X24" s="32">
        <v>49198</v>
      </c>
      <c r="Y24" s="32">
        <v>8217</v>
      </c>
      <c r="Z24" s="32">
        <v>1096</v>
      </c>
      <c r="AA24" s="32">
        <v>56319</v>
      </c>
      <c r="AB24" s="32">
        <v>2817</v>
      </c>
      <c r="AC24" s="32">
        <v>199930</v>
      </c>
    </row>
    <row r="25" spans="1:29" x14ac:dyDescent="0.3">
      <c r="A25" s="31" t="s">
        <v>23</v>
      </c>
      <c r="B25" s="32">
        <v>9581</v>
      </c>
      <c r="C25" s="32">
        <v>1794</v>
      </c>
      <c r="D25" s="32">
        <v>1393</v>
      </c>
      <c r="E25" s="32">
        <v>206</v>
      </c>
      <c r="F25" s="32">
        <v>12974</v>
      </c>
      <c r="G25" s="32">
        <v>96</v>
      </c>
      <c r="H25" s="32">
        <v>13070</v>
      </c>
      <c r="I25" s="32">
        <v>8907</v>
      </c>
      <c r="J25" s="32">
        <v>1030</v>
      </c>
      <c r="K25" s="32">
        <v>4358</v>
      </c>
      <c r="L25" s="32">
        <v>14295</v>
      </c>
      <c r="M25" s="32">
        <v>14390</v>
      </c>
      <c r="N25" s="32">
        <v>5921</v>
      </c>
      <c r="O25" s="32">
        <v>300</v>
      </c>
      <c r="P25" s="32">
        <v>1642</v>
      </c>
      <c r="Q25" s="32">
        <v>111</v>
      </c>
      <c r="R25" s="32">
        <v>940</v>
      </c>
      <c r="S25" s="32">
        <v>7058</v>
      </c>
      <c r="T25" s="32">
        <v>15408</v>
      </c>
      <c r="U25" s="32">
        <v>2722</v>
      </c>
      <c r="V25" s="32">
        <v>5067</v>
      </c>
      <c r="W25" s="32">
        <v>39169</v>
      </c>
      <c r="X25" s="32">
        <v>66534</v>
      </c>
      <c r="Y25" s="32">
        <v>11113</v>
      </c>
      <c r="Z25" s="32">
        <v>1482</v>
      </c>
      <c r="AA25" s="32">
        <v>76165</v>
      </c>
      <c r="AB25" s="32">
        <v>3702</v>
      </c>
      <c r="AC25" s="32">
        <v>205764</v>
      </c>
    </row>
    <row r="26" spans="1:29" x14ac:dyDescent="0.3">
      <c r="A26" s="31" t="s">
        <v>24</v>
      </c>
      <c r="B26" s="32">
        <v>6900</v>
      </c>
      <c r="C26" s="32">
        <v>3192</v>
      </c>
      <c r="D26" s="32">
        <v>589</v>
      </c>
      <c r="E26" s="32">
        <v>142</v>
      </c>
      <c r="F26" s="32">
        <v>10824</v>
      </c>
      <c r="G26" s="32">
        <v>79</v>
      </c>
      <c r="H26" s="32">
        <v>10903</v>
      </c>
      <c r="I26" s="32">
        <v>3752</v>
      </c>
      <c r="J26" s="32">
        <v>434</v>
      </c>
      <c r="K26" s="32">
        <v>1836</v>
      </c>
      <c r="L26" s="32">
        <v>6022</v>
      </c>
      <c r="M26" s="32">
        <v>6101</v>
      </c>
      <c r="N26" s="32">
        <v>2494</v>
      </c>
      <c r="O26" s="32">
        <v>126</v>
      </c>
      <c r="P26" s="32">
        <v>692</v>
      </c>
      <c r="Q26" s="32">
        <v>47</v>
      </c>
      <c r="R26" s="32">
        <v>396</v>
      </c>
      <c r="S26" s="32">
        <v>2973</v>
      </c>
      <c r="T26" s="32">
        <v>6491</v>
      </c>
      <c r="U26" s="32">
        <v>1147</v>
      </c>
      <c r="V26" s="32">
        <v>2134</v>
      </c>
      <c r="W26" s="32">
        <v>16500</v>
      </c>
      <c r="X26" s="32">
        <v>33424</v>
      </c>
      <c r="Y26" s="32">
        <v>5583</v>
      </c>
      <c r="Z26" s="32">
        <v>744</v>
      </c>
      <c r="AA26" s="32">
        <v>38263</v>
      </c>
      <c r="AB26" s="32">
        <v>1799</v>
      </c>
      <c r="AC26" s="32">
        <v>212740</v>
      </c>
    </row>
    <row r="27" spans="1:29" x14ac:dyDescent="0.3">
      <c r="A27" s="31" t="s">
        <v>25</v>
      </c>
      <c r="B27" s="32">
        <v>6575</v>
      </c>
      <c r="C27" s="32">
        <v>1893</v>
      </c>
      <c r="D27" s="32">
        <v>2925</v>
      </c>
      <c r="E27" s="32">
        <v>124</v>
      </c>
      <c r="F27" s="32">
        <v>11516</v>
      </c>
      <c r="G27" s="32">
        <v>41</v>
      </c>
      <c r="H27" s="32">
        <v>11557</v>
      </c>
      <c r="I27" s="32">
        <v>6636</v>
      </c>
      <c r="J27" s="32">
        <v>767</v>
      </c>
      <c r="K27" s="32">
        <v>3247</v>
      </c>
      <c r="L27" s="32">
        <v>10650</v>
      </c>
      <c r="M27" s="32">
        <v>10691</v>
      </c>
      <c r="N27" s="32">
        <v>4412</v>
      </c>
      <c r="O27" s="32">
        <v>224</v>
      </c>
      <c r="P27" s="32">
        <v>1223</v>
      </c>
      <c r="Q27" s="32">
        <v>82</v>
      </c>
      <c r="R27" s="32">
        <v>700</v>
      </c>
      <c r="S27" s="32">
        <v>5258</v>
      </c>
      <c r="T27" s="32">
        <v>11479</v>
      </c>
      <c r="U27" s="32">
        <v>2028</v>
      </c>
      <c r="V27" s="32">
        <v>3775</v>
      </c>
      <c r="W27" s="32">
        <v>29182</v>
      </c>
      <c r="X27" s="32">
        <v>51389</v>
      </c>
      <c r="Y27" s="32">
        <v>8583</v>
      </c>
      <c r="Z27" s="32">
        <v>1145</v>
      </c>
      <c r="AA27" s="32">
        <v>58828</v>
      </c>
      <c r="AB27" s="32">
        <v>2696</v>
      </c>
      <c r="AC27" s="32">
        <v>218206</v>
      </c>
    </row>
    <row r="28" spans="1:29" s="2" customFormat="1" x14ac:dyDescent="0.3">
      <c r="A28" s="14" t="s">
        <v>403</v>
      </c>
      <c r="B28" s="15">
        <v>58924</v>
      </c>
      <c r="C28" s="15">
        <v>16077</v>
      </c>
      <c r="D28" s="15">
        <v>9470</v>
      </c>
      <c r="E28" s="15">
        <v>662</v>
      </c>
      <c r="F28" s="15">
        <v>85136</v>
      </c>
      <c r="G28" s="15">
        <v>692</v>
      </c>
      <c r="H28" s="15">
        <v>85827</v>
      </c>
      <c r="I28" s="15">
        <v>50672</v>
      </c>
      <c r="J28" s="15">
        <v>5857</v>
      </c>
      <c r="K28" s="15">
        <v>24794</v>
      </c>
      <c r="L28" s="15">
        <v>81324</v>
      </c>
      <c r="M28" s="15">
        <v>82014</v>
      </c>
      <c r="N28" s="15">
        <v>33687</v>
      </c>
      <c r="O28" s="15">
        <v>1708</v>
      </c>
      <c r="P28" s="15">
        <v>9340</v>
      </c>
      <c r="Q28" s="15">
        <v>629</v>
      </c>
      <c r="R28" s="15">
        <v>5347</v>
      </c>
      <c r="S28" s="15">
        <v>40153</v>
      </c>
      <c r="T28" s="15">
        <v>87660</v>
      </c>
      <c r="U28" s="15">
        <v>15487</v>
      </c>
      <c r="V28" s="15">
        <v>28826</v>
      </c>
      <c r="W28" s="15">
        <v>222838</v>
      </c>
      <c r="X28" s="15">
        <v>389988</v>
      </c>
      <c r="Y28" s="15">
        <v>65139</v>
      </c>
      <c r="Z28" s="15">
        <v>8688</v>
      </c>
      <c r="AA28" s="15">
        <v>446442</v>
      </c>
      <c r="AB28" s="15">
        <v>20627</v>
      </c>
      <c r="AC28" s="15">
        <f>AVERAGE(AC20:AC27)</f>
        <v>208999.25</v>
      </c>
    </row>
    <row r="29" spans="1:29" x14ac:dyDescent="0.3">
      <c r="A29" s="34" t="s">
        <v>26</v>
      </c>
      <c r="B29" s="35">
        <v>6539</v>
      </c>
      <c r="C29" s="35">
        <v>970</v>
      </c>
      <c r="D29" s="35">
        <v>390</v>
      </c>
      <c r="E29" s="35">
        <v>98</v>
      </c>
      <c r="F29" s="35">
        <v>7996</v>
      </c>
      <c r="G29" s="35">
        <v>264</v>
      </c>
      <c r="H29" s="35">
        <v>8261</v>
      </c>
      <c r="I29" s="35">
        <v>5032</v>
      </c>
      <c r="J29" s="35">
        <v>582</v>
      </c>
      <c r="K29" s="35">
        <v>2462</v>
      </c>
      <c r="L29" s="35">
        <v>8076</v>
      </c>
      <c r="M29" s="35">
        <v>8340</v>
      </c>
      <c r="N29" s="35">
        <v>3346</v>
      </c>
      <c r="O29" s="35">
        <v>170</v>
      </c>
      <c r="P29" s="35">
        <v>928</v>
      </c>
      <c r="Q29" s="35">
        <v>62</v>
      </c>
      <c r="R29" s="35">
        <v>531</v>
      </c>
      <c r="S29" s="35">
        <v>3988</v>
      </c>
      <c r="T29" s="35">
        <v>8706</v>
      </c>
      <c r="U29" s="35">
        <v>1538</v>
      </c>
      <c r="V29" s="35">
        <v>2863</v>
      </c>
      <c r="W29" s="35">
        <v>22130</v>
      </c>
      <c r="X29" s="35">
        <v>38467</v>
      </c>
      <c r="Y29" s="35">
        <v>6425</v>
      </c>
      <c r="Z29" s="35">
        <v>857</v>
      </c>
      <c r="AA29" s="35">
        <v>44035</v>
      </c>
      <c r="AB29" s="35">
        <v>2824</v>
      </c>
      <c r="AC29" s="35">
        <v>155950</v>
      </c>
    </row>
    <row r="30" spans="1:29" x14ac:dyDescent="0.3">
      <c r="A30" s="34" t="s">
        <v>27</v>
      </c>
      <c r="B30" s="35">
        <v>5167</v>
      </c>
      <c r="C30" s="35">
        <v>482</v>
      </c>
      <c r="D30" s="35">
        <v>277</v>
      </c>
      <c r="E30" s="35">
        <v>49</v>
      </c>
      <c r="F30" s="35">
        <v>5975</v>
      </c>
      <c r="G30" s="35">
        <v>763</v>
      </c>
      <c r="H30" s="35">
        <v>6738</v>
      </c>
      <c r="I30" s="35">
        <v>5559</v>
      </c>
      <c r="J30" s="35">
        <v>643</v>
      </c>
      <c r="K30" s="35">
        <v>2720</v>
      </c>
      <c r="L30" s="35">
        <v>8922</v>
      </c>
      <c r="M30" s="35">
        <v>9685</v>
      </c>
      <c r="N30" s="35">
        <v>3696</v>
      </c>
      <c r="O30" s="35">
        <v>187</v>
      </c>
      <c r="P30" s="35" t="s">
        <v>8</v>
      </c>
      <c r="Q30" s="35">
        <v>69</v>
      </c>
      <c r="R30" s="35">
        <v>587</v>
      </c>
      <c r="S30" s="35">
        <v>4405</v>
      </c>
      <c r="T30" s="35">
        <v>9617</v>
      </c>
      <c r="U30" s="35">
        <v>1699</v>
      </c>
      <c r="V30" s="35">
        <v>3163</v>
      </c>
      <c r="W30" s="35">
        <v>23424</v>
      </c>
      <c r="X30" s="35">
        <v>39084</v>
      </c>
      <c r="Y30" s="35">
        <v>6699</v>
      </c>
      <c r="Z30" s="35">
        <v>893</v>
      </c>
      <c r="AA30" s="35">
        <v>44890</v>
      </c>
      <c r="AB30" s="35">
        <v>2033</v>
      </c>
      <c r="AC30" s="35">
        <v>220768</v>
      </c>
    </row>
    <row r="31" spans="1:29" x14ac:dyDescent="0.3">
      <c r="A31" s="34" t="s">
        <v>28</v>
      </c>
      <c r="B31" s="35">
        <v>4187</v>
      </c>
      <c r="C31" s="35">
        <v>425</v>
      </c>
      <c r="D31" s="35">
        <v>201</v>
      </c>
      <c r="E31" s="35">
        <v>131</v>
      </c>
      <c r="F31" s="35">
        <v>4943</v>
      </c>
      <c r="G31" s="35">
        <v>128</v>
      </c>
      <c r="H31" s="35">
        <v>5071</v>
      </c>
      <c r="I31" s="35">
        <v>2031</v>
      </c>
      <c r="J31" s="35">
        <v>235</v>
      </c>
      <c r="K31" s="35">
        <v>994</v>
      </c>
      <c r="L31" s="35">
        <v>3259</v>
      </c>
      <c r="M31" s="35">
        <v>3387</v>
      </c>
      <c r="N31" s="35">
        <v>1350</v>
      </c>
      <c r="O31" s="35">
        <v>68</v>
      </c>
      <c r="P31" s="35">
        <v>374</v>
      </c>
      <c r="Q31" s="35">
        <v>25</v>
      </c>
      <c r="R31" s="35">
        <v>214</v>
      </c>
      <c r="S31" s="35">
        <v>1609</v>
      </c>
      <c r="T31" s="35">
        <v>3513</v>
      </c>
      <c r="U31" s="35">
        <v>621</v>
      </c>
      <c r="V31" s="35">
        <v>1155</v>
      </c>
      <c r="W31" s="35">
        <v>8931</v>
      </c>
      <c r="X31" s="35">
        <v>17261</v>
      </c>
      <c r="Y31" s="35">
        <v>2883</v>
      </c>
      <c r="Z31" s="35">
        <v>384</v>
      </c>
      <c r="AA31" s="35">
        <v>19760</v>
      </c>
      <c r="AB31" s="35">
        <v>1300</v>
      </c>
      <c r="AC31" s="35">
        <v>151961</v>
      </c>
    </row>
    <row r="32" spans="1:29" x14ac:dyDescent="0.3">
      <c r="A32" s="34" t="s">
        <v>29</v>
      </c>
      <c r="B32" s="35">
        <v>10102</v>
      </c>
      <c r="C32" s="35">
        <v>1307</v>
      </c>
      <c r="D32" s="35">
        <v>1198</v>
      </c>
      <c r="E32" s="35">
        <v>58</v>
      </c>
      <c r="F32" s="35">
        <v>12665</v>
      </c>
      <c r="G32" s="35">
        <v>280</v>
      </c>
      <c r="H32" s="35">
        <v>12945</v>
      </c>
      <c r="I32" s="35">
        <v>8034</v>
      </c>
      <c r="J32" s="35">
        <v>929</v>
      </c>
      <c r="K32" s="35">
        <v>3931</v>
      </c>
      <c r="L32" s="35">
        <v>12894</v>
      </c>
      <c r="M32" s="35">
        <v>13175</v>
      </c>
      <c r="N32" s="35">
        <v>5341</v>
      </c>
      <c r="O32" s="35">
        <v>271</v>
      </c>
      <c r="P32" s="35">
        <v>1481</v>
      </c>
      <c r="Q32" s="35">
        <v>100</v>
      </c>
      <c r="R32" s="35">
        <v>848</v>
      </c>
      <c r="S32" s="35">
        <v>6367</v>
      </c>
      <c r="T32" s="35">
        <v>13899</v>
      </c>
      <c r="U32" s="35">
        <v>2456</v>
      </c>
      <c r="V32" s="35">
        <v>4570</v>
      </c>
      <c r="W32" s="35">
        <v>35333</v>
      </c>
      <c r="X32" s="35">
        <v>61172</v>
      </c>
      <c r="Y32" s="35">
        <v>10218</v>
      </c>
      <c r="Z32" s="35">
        <v>1363</v>
      </c>
      <c r="AA32" s="35">
        <v>70027</v>
      </c>
      <c r="AB32" s="35">
        <v>3221</v>
      </c>
      <c r="AC32" s="35">
        <v>217429</v>
      </c>
    </row>
    <row r="33" spans="1:29" x14ac:dyDescent="0.3">
      <c r="A33" s="34" t="s">
        <v>30</v>
      </c>
      <c r="B33" s="35">
        <v>7660</v>
      </c>
      <c r="C33" s="35">
        <v>848</v>
      </c>
      <c r="D33" s="35">
        <v>2120</v>
      </c>
      <c r="E33" s="35">
        <v>107</v>
      </c>
      <c r="F33" s="35">
        <v>10736</v>
      </c>
      <c r="G33" s="35">
        <v>2321</v>
      </c>
      <c r="H33" s="35">
        <v>13057</v>
      </c>
      <c r="I33" s="35">
        <v>5814</v>
      </c>
      <c r="J33" s="35">
        <v>672</v>
      </c>
      <c r="K33" s="35">
        <v>2845</v>
      </c>
      <c r="L33" s="35">
        <v>9331</v>
      </c>
      <c r="M33" s="35">
        <v>11652</v>
      </c>
      <c r="N33" s="35">
        <v>3865</v>
      </c>
      <c r="O33" s="35">
        <v>196</v>
      </c>
      <c r="P33" s="35">
        <v>1072</v>
      </c>
      <c r="Q33" s="35">
        <v>72</v>
      </c>
      <c r="R33" s="35">
        <v>614</v>
      </c>
      <c r="S33" s="35">
        <v>4607</v>
      </c>
      <c r="T33" s="35">
        <v>10058</v>
      </c>
      <c r="U33" s="35">
        <v>1777</v>
      </c>
      <c r="V33" s="35">
        <v>3307</v>
      </c>
      <c r="W33" s="35">
        <v>25569</v>
      </c>
      <c r="X33" s="35">
        <v>47957</v>
      </c>
      <c r="Y33" s="35">
        <v>8010</v>
      </c>
      <c r="Z33" s="35">
        <v>1068</v>
      </c>
      <c r="AA33" s="35">
        <v>54899</v>
      </c>
      <c r="AB33" s="35">
        <v>3028</v>
      </c>
      <c r="AC33" s="35">
        <v>181279</v>
      </c>
    </row>
    <row r="34" spans="1:29" s="2" customFormat="1" x14ac:dyDescent="0.3">
      <c r="A34" s="16" t="s">
        <v>407</v>
      </c>
      <c r="B34" s="17">
        <v>33655</v>
      </c>
      <c r="C34" s="17">
        <v>4032</v>
      </c>
      <c r="D34" s="17">
        <v>4186</v>
      </c>
      <c r="E34" s="17">
        <v>443</v>
      </c>
      <c r="F34" s="17">
        <v>42315</v>
      </c>
      <c r="G34" s="17">
        <v>3756</v>
      </c>
      <c r="H34" s="17">
        <v>46072</v>
      </c>
      <c r="I34" s="17">
        <v>26470</v>
      </c>
      <c r="J34" s="17">
        <v>3061</v>
      </c>
      <c r="K34" s="17">
        <v>12952</v>
      </c>
      <c r="L34" s="17">
        <v>42482</v>
      </c>
      <c r="M34" s="17">
        <v>46239</v>
      </c>
      <c r="N34" s="17">
        <v>17598</v>
      </c>
      <c r="O34" s="17">
        <v>892</v>
      </c>
      <c r="P34" s="17">
        <v>3855</v>
      </c>
      <c r="Q34" s="17">
        <v>328</v>
      </c>
      <c r="R34" s="17">
        <v>2794</v>
      </c>
      <c r="S34" s="17">
        <v>20976</v>
      </c>
      <c r="T34" s="17">
        <v>45793</v>
      </c>
      <c r="U34" s="17">
        <v>8091</v>
      </c>
      <c r="V34" s="17">
        <v>15058</v>
      </c>
      <c r="W34" s="17">
        <v>115387</v>
      </c>
      <c r="X34" s="17">
        <v>203941</v>
      </c>
      <c r="Y34" s="17">
        <v>34235</v>
      </c>
      <c r="Z34" s="17">
        <v>4565</v>
      </c>
      <c r="AA34" s="17">
        <v>233611</v>
      </c>
      <c r="AB34" s="17">
        <v>12406</v>
      </c>
      <c r="AC34" s="17">
        <f>AVERAGE(AC29:AC33)</f>
        <v>185477.4</v>
      </c>
    </row>
    <row r="35" spans="1:29" x14ac:dyDescent="0.3">
      <c r="A35" s="20" t="s">
        <v>31</v>
      </c>
      <c r="B35" s="21">
        <v>4640</v>
      </c>
      <c r="C35" s="21">
        <v>643</v>
      </c>
      <c r="D35" s="21">
        <v>1526</v>
      </c>
      <c r="E35" s="21">
        <v>30</v>
      </c>
      <c r="F35" s="21">
        <v>6839</v>
      </c>
      <c r="G35" s="21">
        <v>68</v>
      </c>
      <c r="H35" s="21">
        <v>6906</v>
      </c>
      <c r="I35" s="21">
        <v>4222</v>
      </c>
      <c r="J35" s="21">
        <v>488</v>
      </c>
      <c r="K35" s="21">
        <v>2066</v>
      </c>
      <c r="L35" s="21">
        <v>6776</v>
      </c>
      <c r="M35" s="21">
        <v>6843</v>
      </c>
      <c r="N35" s="21">
        <v>2807</v>
      </c>
      <c r="O35" s="21">
        <v>142</v>
      </c>
      <c r="P35" s="21">
        <v>778</v>
      </c>
      <c r="Q35" s="21">
        <v>52</v>
      </c>
      <c r="R35" s="21">
        <v>446</v>
      </c>
      <c r="S35" s="21">
        <v>3346</v>
      </c>
      <c r="T35" s="21">
        <v>7304</v>
      </c>
      <c r="U35" s="21">
        <v>1290</v>
      </c>
      <c r="V35" s="21">
        <v>2402</v>
      </c>
      <c r="W35" s="21">
        <v>18567</v>
      </c>
      <c r="X35" s="21">
        <v>32249</v>
      </c>
      <c r="Y35" s="21">
        <v>5387</v>
      </c>
      <c r="Z35" s="21">
        <v>718</v>
      </c>
      <c r="AA35" s="21">
        <v>36918</v>
      </c>
      <c r="AB35" s="21">
        <v>1443</v>
      </c>
      <c r="AC35" s="21">
        <v>255758</v>
      </c>
    </row>
    <row r="36" spans="1:29" x14ac:dyDescent="0.3">
      <c r="A36" s="20" t="s">
        <v>32</v>
      </c>
      <c r="B36" s="21">
        <v>6444</v>
      </c>
      <c r="C36" s="21">
        <v>1461</v>
      </c>
      <c r="D36" s="21">
        <v>1521</v>
      </c>
      <c r="E36" s="21">
        <v>294</v>
      </c>
      <c r="F36" s="21">
        <v>9721</v>
      </c>
      <c r="G36" s="21">
        <v>2081</v>
      </c>
      <c r="H36" s="21">
        <v>11801</v>
      </c>
      <c r="I36" s="21">
        <v>27494</v>
      </c>
      <c r="J36" s="21">
        <v>3179</v>
      </c>
      <c r="K36" s="21">
        <v>13453</v>
      </c>
      <c r="L36" s="21">
        <v>44126</v>
      </c>
      <c r="M36" s="21">
        <v>46207</v>
      </c>
      <c r="N36" s="21">
        <v>18279</v>
      </c>
      <c r="O36" s="21">
        <v>927</v>
      </c>
      <c r="P36" s="21">
        <v>5068</v>
      </c>
      <c r="Q36" s="21">
        <v>341</v>
      </c>
      <c r="R36" s="21">
        <v>2902</v>
      </c>
      <c r="S36" s="21">
        <v>21787</v>
      </c>
      <c r="T36" s="21">
        <v>47564</v>
      </c>
      <c r="U36" s="21">
        <v>8403</v>
      </c>
      <c r="V36" s="21">
        <v>15641</v>
      </c>
      <c r="W36" s="21">
        <v>120912</v>
      </c>
      <c r="X36" s="21">
        <v>176840</v>
      </c>
      <c r="Y36" s="21">
        <v>29538</v>
      </c>
      <c r="Z36" s="21">
        <v>3939</v>
      </c>
      <c r="AA36" s="21">
        <v>202438</v>
      </c>
      <c r="AB36" s="21">
        <v>5427</v>
      </c>
      <c r="AC36" s="21">
        <v>373010</v>
      </c>
    </row>
    <row r="37" spans="1:29" x14ac:dyDescent="0.3">
      <c r="A37" s="20" t="s">
        <v>33</v>
      </c>
      <c r="B37" s="21">
        <v>3043</v>
      </c>
      <c r="C37" s="21">
        <v>789</v>
      </c>
      <c r="D37" s="21">
        <v>1485</v>
      </c>
      <c r="E37" s="21">
        <v>314</v>
      </c>
      <c r="F37" s="21">
        <v>5631</v>
      </c>
      <c r="G37" s="21">
        <v>1163</v>
      </c>
      <c r="H37" s="21">
        <v>6794</v>
      </c>
      <c r="I37" s="21">
        <v>3025</v>
      </c>
      <c r="J37" s="21">
        <v>350</v>
      </c>
      <c r="K37" s="21">
        <v>1480</v>
      </c>
      <c r="L37" s="21">
        <v>4855</v>
      </c>
      <c r="M37" s="21">
        <v>6018</v>
      </c>
      <c r="N37" s="21">
        <v>2011</v>
      </c>
      <c r="O37" s="21">
        <v>102</v>
      </c>
      <c r="P37" s="21">
        <v>558</v>
      </c>
      <c r="Q37" s="21">
        <v>38</v>
      </c>
      <c r="R37" s="21">
        <v>319</v>
      </c>
      <c r="S37" s="21">
        <v>2397</v>
      </c>
      <c r="T37" s="21">
        <v>5233</v>
      </c>
      <c r="U37" s="21">
        <v>925</v>
      </c>
      <c r="V37" s="21">
        <v>1721</v>
      </c>
      <c r="W37" s="21">
        <v>13304</v>
      </c>
      <c r="X37" s="21">
        <v>24952</v>
      </c>
      <c r="Y37" s="21">
        <v>4168</v>
      </c>
      <c r="Z37" s="21">
        <v>556</v>
      </c>
      <c r="AA37" s="21">
        <v>28564</v>
      </c>
      <c r="AB37" s="21">
        <v>1307</v>
      </c>
      <c r="AC37" s="21">
        <v>218513</v>
      </c>
    </row>
    <row r="38" spans="1:29" x14ac:dyDescent="0.3">
      <c r="A38" s="20" t="s">
        <v>34</v>
      </c>
      <c r="B38" s="21">
        <v>2944</v>
      </c>
      <c r="C38" s="21">
        <v>437</v>
      </c>
      <c r="D38" s="21">
        <v>474</v>
      </c>
      <c r="E38" s="21">
        <v>263</v>
      </c>
      <c r="F38" s="21">
        <v>4119</v>
      </c>
      <c r="G38" s="21">
        <v>63</v>
      </c>
      <c r="H38" s="21">
        <v>4182</v>
      </c>
      <c r="I38" s="21">
        <v>3679</v>
      </c>
      <c r="J38" s="21">
        <v>425</v>
      </c>
      <c r="K38" s="21">
        <v>1800</v>
      </c>
      <c r="L38" s="21">
        <v>5904</v>
      </c>
      <c r="M38" s="21">
        <v>5967</v>
      </c>
      <c r="N38" s="21">
        <v>2446</v>
      </c>
      <c r="O38" s="21">
        <v>124</v>
      </c>
      <c r="P38" s="21">
        <v>678</v>
      </c>
      <c r="Q38" s="21">
        <v>46</v>
      </c>
      <c r="R38" s="21">
        <v>388</v>
      </c>
      <c r="S38" s="21">
        <v>2915</v>
      </c>
      <c r="T38" s="21">
        <v>6364</v>
      </c>
      <c r="U38" s="21">
        <v>1124</v>
      </c>
      <c r="V38" s="21">
        <v>2093</v>
      </c>
      <c r="W38" s="21">
        <v>16178</v>
      </c>
      <c r="X38" s="21">
        <v>26263</v>
      </c>
      <c r="Y38" s="21">
        <v>4387</v>
      </c>
      <c r="Z38" s="21">
        <v>585</v>
      </c>
      <c r="AA38" s="21">
        <v>30065</v>
      </c>
      <c r="AB38" s="21">
        <v>1435</v>
      </c>
      <c r="AC38" s="21">
        <v>209473</v>
      </c>
    </row>
    <row r="39" spans="1:29" x14ac:dyDescent="0.3">
      <c r="A39" s="20" t="s">
        <v>35</v>
      </c>
      <c r="B39" s="21">
        <v>3775</v>
      </c>
      <c r="C39" s="21">
        <v>517</v>
      </c>
      <c r="D39" s="21">
        <v>3839</v>
      </c>
      <c r="E39" s="21">
        <v>267</v>
      </c>
      <c r="F39" s="21">
        <v>8398</v>
      </c>
      <c r="G39" s="21">
        <v>4812</v>
      </c>
      <c r="H39" s="21">
        <v>13210</v>
      </c>
      <c r="I39" s="21">
        <v>6823</v>
      </c>
      <c r="J39" s="21">
        <v>789</v>
      </c>
      <c r="K39" s="21">
        <v>3339</v>
      </c>
      <c r="L39" s="21">
        <v>10950</v>
      </c>
      <c r="M39" s="21">
        <v>15763</v>
      </c>
      <c r="N39" s="21">
        <v>4536</v>
      </c>
      <c r="O39" s="21">
        <v>230</v>
      </c>
      <c r="P39" s="21">
        <v>1258</v>
      </c>
      <c r="Q39" s="21">
        <v>85</v>
      </c>
      <c r="R39" s="21">
        <v>720</v>
      </c>
      <c r="S39" s="21">
        <v>5407</v>
      </c>
      <c r="T39" s="21">
        <v>11804</v>
      </c>
      <c r="U39" s="21">
        <v>2085</v>
      </c>
      <c r="V39" s="21">
        <v>3881</v>
      </c>
      <c r="W39" s="21">
        <v>30006</v>
      </c>
      <c r="X39" s="21">
        <v>54166</v>
      </c>
      <c r="Y39" s="21">
        <v>9047</v>
      </c>
      <c r="Z39" s="21">
        <v>1206</v>
      </c>
      <c r="AA39" s="21">
        <v>62007</v>
      </c>
      <c r="AB39" s="21">
        <v>2455</v>
      </c>
      <c r="AC39" s="21">
        <v>252545</v>
      </c>
    </row>
    <row r="40" spans="1:29" x14ac:dyDescent="0.3">
      <c r="A40" s="20" t="s">
        <v>36</v>
      </c>
      <c r="B40" s="21">
        <v>1850</v>
      </c>
      <c r="C40" s="21">
        <v>447</v>
      </c>
      <c r="D40" s="21">
        <v>1054</v>
      </c>
      <c r="E40" s="21">
        <v>161</v>
      </c>
      <c r="F40" s="21">
        <v>3512</v>
      </c>
      <c r="G40" s="21">
        <v>6</v>
      </c>
      <c r="H40" s="21">
        <v>3518</v>
      </c>
      <c r="I40" s="21">
        <v>2088</v>
      </c>
      <c r="J40" s="21">
        <v>241</v>
      </c>
      <c r="K40" s="21">
        <v>1022</v>
      </c>
      <c r="L40" s="21">
        <v>3351</v>
      </c>
      <c r="M40" s="21">
        <v>3357</v>
      </c>
      <c r="N40" s="21">
        <v>1388</v>
      </c>
      <c r="O40" s="21">
        <v>70</v>
      </c>
      <c r="P40" s="21">
        <v>385</v>
      </c>
      <c r="Q40" s="21">
        <v>26</v>
      </c>
      <c r="R40" s="21">
        <v>220</v>
      </c>
      <c r="S40" s="21">
        <v>1655</v>
      </c>
      <c r="T40" s="21">
        <v>3612</v>
      </c>
      <c r="U40" s="21">
        <v>638</v>
      </c>
      <c r="V40" s="21">
        <v>1188</v>
      </c>
      <c r="W40" s="21">
        <v>9182</v>
      </c>
      <c r="X40" s="21">
        <v>16051</v>
      </c>
      <c r="Y40" s="21">
        <v>2681</v>
      </c>
      <c r="Z40" s="21">
        <v>358</v>
      </c>
      <c r="AA40" s="21">
        <v>18375</v>
      </c>
      <c r="AB40" s="21">
        <v>1154</v>
      </c>
      <c r="AC40" s="21">
        <v>159213</v>
      </c>
    </row>
    <row r="41" spans="1:29" s="2" customFormat="1" x14ac:dyDescent="0.3">
      <c r="A41" s="23" t="s">
        <v>402</v>
      </c>
      <c r="B41" s="24">
        <v>22696</v>
      </c>
      <c r="C41" s="24">
        <v>4294</v>
      </c>
      <c r="D41" s="24">
        <v>9899</v>
      </c>
      <c r="E41" s="24">
        <v>1329</v>
      </c>
      <c r="F41" s="24">
        <v>38220</v>
      </c>
      <c r="G41" s="24">
        <v>8193</v>
      </c>
      <c r="H41" s="24">
        <v>46411</v>
      </c>
      <c r="I41" s="24">
        <v>47331</v>
      </c>
      <c r="J41" s="24">
        <v>5472</v>
      </c>
      <c r="K41" s="24">
        <v>23160</v>
      </c>
      <c r="L41" s="24">
        <v>75962</v>
      </c>
      <c r="M41" s="24">
        <v>84155</v>
      </c>
      <c r="N41" s="24">
        <v>31467</v>
      </c>
      <c r="O41" s="24">
        <v>1595</v>
      </c>
      <c r="P41" s="24">
        <v>8725</v>
      </c>
      <c r="Q41" s="24">
        <v>588</v>
      </c>
      <c r="R41" s="24">
        <v>4995</v>
      </c>
      <c r="S41" s="24">
        <v>37507</v>
      </c>
      <c r="T41" s="24">
        <v>81881</v>
      </c>
      <c r="U41" s="24">
        <v>14465</v>
      </c>
      <c r="V41" s="24">
        <v>26926</v>
      </c>
      <c r="W41" s="24">
        <v>208149</v>
      </c>
      <c r="X41" s="24">
        <v>330521</v>
      </c>
      <c r="Y41" s="24">
        <v>55208</v>
      </c>
      <c r="Z41" s="24">
        <v>7362</v>
      </c>
      <c r="AA41" s="24">
        <v>378367</v>
      </c>
      <c r="AB41" s="24">
        <v>13221</v>
      </c>
      <c r="AC41" s="24">
        <f>AVERAGE(AC35:AC40)</f>
        <v>244752</v>
      </c>
    </row>
    <row r="42" spans="1:29" s="2" customFormat="1" x14ac:dyDescent="0.3">
      <c r="A42" s="25" t="s">
        <v>406</v>
      </c>
      <c r="B42" s="26">
        <v>238759</v>
      </c>
      <c r="C42" s="26">
        <v>100024</v>
      </c>
      <c r="D42" s="26">
        <v>51076</v>
      </c>
      <c r="E42" s="26">
        <v>8710</v>
      </c>
      <c r="F42" s="26">
        <v>398573</v>
      </c>
      <c r="G42" s="26">
        <v>62662</v>
      </c>
      <c r="H42" s="26">
        <v>461231</v>
      </c>
      <c r="I42" s="26">
        <v>513395</v>
      </c>
      <c r="J42" s="26">
        <v>59354</v>
      </c>
      <c r="K42" s="26">
        <v>251212</v>
      </c>
      <c r="L42" s="26">
        <v>823958</v>
      </c>
      <c r="M42" s="26">
        <v>886618</v>
      </c>
      <c r="N42" s="26">
        <v>341321</v>
      </c>
      <c r="O42" s="26">
        <v>17306</v>
      </c>
      <c r="P42" s="26">
        <v>93612</v>
      </c>
      <c r="Q42" s="26">
        <v>6373</v>
      </c>
      <c r="R42" s="26">
        <v>54187</v>
      </c>
      <c r="S42" s="26">
        <v>406826</v>
      </c>
      <c r="T42" s="26">
        <v>888164</v>
      </c>
      <c r="U42" s="26">
        <v>156915</v>
      </c>
      <c r="V42" s="26">
        <v>292057</v>
      </c>
      <c r="W42" s="26">
        <v>2256763</v>
      </c>
      <c r="X42" s="26">
        <v>3541952</v>
      </c>
      <c r="Y42" s="26">
        <v>591785</v>
      </c>
      <c r="Z42" s="26">
        <v>78916</v>
      </c>
      <c r="AA42" s="26">
        <v>4054822</v>
      </c>
      <c r="AB42" s="26">
        <v>126953</v>
      </c>
      <c r="AC42" s="26">
        <f>AVERAGE(AC41,AC34,AC28,AC13,AC7,AC19)</f>
        <v>261541.70833333334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2011-12</vt:lpstr>
      <vt:lpstr>2012-13</vt:lpstr>
      <vt:lpstr>2013-14</vt:lpstr>
      <vt:lpstr>2014-15</vt:lpstr>
      <vt:lpstr>2015-16</vt:lpstr>
      <vt:lpstr>2016-17</vt:lpstr>
      <vt:lpstr>2017-18</vt:lpstr>
      <vt:lpstr>2018-19</vt:lpstr>
      <vt:lpstr>2019-20</vt:lpstr>
      <vt:lpstr>2020-21</vt:lpstr>
      <vt:lpstr>2021-22</vt:lpstr>
      <vt:lpstr>2022-23</vt:lpstr>
      <vt:lpstr>2023-24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Himanshu Chaudhari</cp:lastModifiedBy>
  <dcterms:created xsi:type="dcterms:W3CDTF">2025-04-07T17:04:34Z</dcterms:created>
  <dcterms:modified xsi:type="dcterms:W3CDTF">2026-01-16T09:23:08Z</dcterms:modified>
</cp:coreProperties>
</file>